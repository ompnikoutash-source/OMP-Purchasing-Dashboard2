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30" yWindow="3330" windowWidth="21600" windowHeight="11295" tabRatio="600" firstSheet="0" activeTab="4" autoFilterDateGrouping="1"/>
  </bookViews>
  <sheets>
    <sheet name="Margins" sheetId="1" state="visible" r:id="rId1"/>
    <sheet name="Who Produces" sheetId="2" state="visible" r:id="rId2"/>
    <sheet name="for email" sheetId="3" state="visible" r:id="rId3"/>
    <sheet name="Strip SKU Combination" sheetId="4" state="visible" r:id="rId4"/>
    <sheet name="Sheet1" sheetId="5" state="visible" r:id="rId5"/>
  </sheets>
  <definedNames>
    <definedName name="_xlnm._FilterDatabase" localSheetId="0" hidden="1">'Margins'!$A$1:$C$60</definedName>
    <definedName name="_xlnm._FilterDatabase" localSheetId="2" hidden="1">'for email'!$A$1:$H$82</definedName>
    <definedName name="_xlnm._FilterDatabase" localSheetId="3" hidden="1">'Strip SKU Combination'!$A$1:$I$65</definedName>
    <definedName name="_xlnm._FilterDatabase" localSheetId="4" hidden="1">'Sheet1'!$A$1:$H$65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164" fontId="0" fillId="0" borderId="0" pivotButton="0" quotePrefix="0" xfId="1"/>
    <xf numFmtId="0" fontId="0" fillId="4" borderId="0" pivotButton="0" quotePrefix="0" xfId="0"/>
    <xf numFmtId="0" fontId="2" fillId="3" borderId="1" pivotButton="0" quotePrefix="0" xfId="0"/>
    <xf numFmtId="0" fontId="0" fillId="0" borderId="1" pivotButton="0" quotePrefix="0" xfId="0"/>
    <xf numFmtId="164" fontId="4" fillId="5" borderId="0" pivotButton="0" quotePrefix="0" xfId="1"/>
    <xf numFmtId="0" fontId="0" fillId="0" borderId="1" applyAlignment="1" pivotButton="0" quotePrefix="0" xfId="0">
      <alignment wrapText="1"/>
    </xf>
    <xf numFmtId="0" fontId="3" fillId="6" borderId="1" pivotButton="0" quotePrefix="0" xfId="0"/>
    <xf numFmtId="165" fontId="0" fillId="0" borderId="1" pivotButton="0" quotePrefix="0" xfId="0"/>
    <xf numFmtId="10" fontId="3" fillId="6" borderId="1" pivotButton="0" quotePrefix="0" xfId="2"/>
    <xf numFmtId="10" fontId="0" fillId="0" borderId="1" pivotButton="0" quotePrefix="0" xfId="2"/>
    <xf numFmtId="10" fontId="0" fillId="0" borderId="0" pivotButton="0" quotePrefix="0" xfId="2"/>
    <xf numFmtId="0" fontId="0" fillId="0" borderId="2" pivotButton="0" quotePrefix="0" xfId="0"/>
    <xf numFmtId="0" fontId="3" fillId="7" borderId="2" pivotButton="0" quotePrefix="0" xfId="0"/>
    <xf numFmtId="43" fontId="0" fillId="0" borderId="1" pivotButton="0" quotePrefix="0" xfId="3"/>
    <xf numFmtId="43" fontId="0" fillId="0" borderId="0" pivotButton="0" quotePrefix="0" xfId="3"/>
    <xf numFmtId="0" fontId="3" fillId="8" borderId="1" pivotButton="0" quotePrefix="0" xfId="0"/>
    <xf numFmtId="43" fontId="3" fillId="8" borderId="1" pivotButton="0" quotePrefix="0" xfId="3"/>
    <xf numFmtId="0" fontId="0" fillId="9" borderId="1" pivotButton="0" quotePrefix="0" xfId="0"/>
    <xf numFmtId="165" fontId="0" fillId="0" borderId="1" pivotButton="0" quotePrefix="0" xfId="0"/>
    <xf numFmtId="164" fontId="0" fillId="0" borderId="0" pivotButton="0" quotePrefix="0" xfId="1"/>
    <xf numFmtId="164" fontId="4" fillId="5" borderId="0" pivotButton="0" quotePrefix="0" xfId="1"/>
  </cellXfs>
  <cellStyles count="4">
    <cellStyle name="Normal" xfId="0" builtinId="0"/>
    <cellStyle name="Currency" xfId="1" builtinId="4"/>
    <cellStyle name="Percent" xfId="2" builtinId="5"/>
    <cellStyle name="Comma" xfId="3" builtinId="3"/>
  </cellStyles>
  <dxfs count="18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0" formatCode="General"/>
      <fill>
        <patternFill>
          <fgColor indexed="64"/>
          <bgColor indexed="65"/>
        </patternFill>
      </fill>
    </dxf>
    <dxf>
      <numFmt numFmtId="0" formatCode="General"/>
      <fill>
        <patternFill>
          <fgColor indexed="64"/>
          <bgColor indexed="65"/>
        </patternFill>
      </fill>
    </dxf>
    <dxf>
      <numFmt numFmtId="0" formatCode="General"/>
      <fill>
        <patternFill>
          <fgColor indexed="64"/>
          <bgColor indexed="65"/>
        </patternFill>
      </fill>
    </dxf>
    <dxf>
      <numFmt numFmtId="0" formatCode="General"/>
      <fill>
        <patternFill>
          <fgColor indexed="64"/>
          <bgColor indexed="65"/>
        </patternFill>
      </fill>
    </dxf>
    <dxf>
      <numFmt numFmtId="0" formatCode="General"/>
      <fill>
        <patternFill>
          <fgColor indexed="64"/>
          <bgColor indexed="65"/>
        </patternFill>
      </fill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3" displayName="Table3" ref="A1:P65" headerRowCount="1" totalsRowShown="0" headerRowDxfId="17" dataDxfId="16" headerRowCellStyle="Currency" dataCellStyle="Currency">
  <autoFilter ref="A1:P65"/>
  <sortState ref="A2:P65">
    <sortCondition ref="A1:A65"/>
  </sortState>
  <tableColumns count="16">
    <tableColumn id="2" name="Item Number" dataDxfId="15"/>
    <tableColumn id="3" name="Description" dataDxfId="14"/>
    <tableColumn id="17" name="Thickness" dataDxfId="13"/>
    <tableColumn id="16" name="Width" dataDxfId="12"/>
    <tableColumn id="15" name="Species" dataDxfId="11"/>
    <tableColumn id="14" name="Grade/Cut" dataDxfId="10"/>
    <tableColumn id="13" name="Edge" dataDxfId="9"/>
    <tableColumn id="12" name="Bundles" dataDxfId="8"/>
    <tableColumn id="4" name="Indiana" dataDxfId="7" dataCellStyle="Currency"/>
    <tableColumn id="5" name="Dayspring" dataDxfId="6" dataCellStyle="Currency"/>
    <tableColumn id="6" name="Mullican" dataDxfId="5" dataCellStyle="Currency"/>
    <tableColumn id="7" name="Macon" dataDxfId="4" dataCellStyle="Currency"/>
    <tableColumn id="8" name="Anthony" dataDxfId="3" dataCellStyle="Currency"/>
    <tableColumn id="9" name="Orillia" dataDxfId="2" dataCellStyle="Currency"/>
    <tableColumn id="10" name="Lebanon" dataDxfId="1" dataCellStyle="Currency"/>
    <tableColumn id="18" name="Merrick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16.28515625" bestFit="1" customWidth="1" min="1" max="1"/>
    <col width="16.28515625" customWidth="1" min="2" max="2"/>
    <col width="12" bestFit="1" customWidth="1" style="13" min="3" max="3"/>
  </cols>
  <sheetData>
    <row r="1">
      <c r="A1" s="9" t="inlineStr">
        <is>
          <t>ITEM NUMBER</t>
        </is>
      </c>
      <c r="B1" s="9" t="inlineStr">
        <is>
          <t>SALE PRICE</t>
        </is>
      </c>
      <c r="C1" s="11" t="inlineStr">
        <is>
          <t>MARGIN</t>
        </is>
      </c>
    </row>
    <row r="2">
      <c r="A2" s="6" t="inlineStr">
        <is>
          <t>RQ214SOSSP</t>
        </is>
      </c>
      <c r="B2" s="21" t="n">
        <v>4.99</v>
      </c>
      <c r="C2" s="12" t="n">
        <v>0.2096</v>
      </c>
    </row>
    <row r="3">
      <c r="A3" s="6" t="inlineStr">
        <is>
          <t>RQ214SRSSP</t>
        </is>
      </c>
      <c r="B3" s="21" t="n">
        <v>3.69</v>
      </c>
      <c r="C3" s="12" t="n">
        <v>0.2578796561604585</v>
      </c>
    </row>
    <row r="4">
      <c r="A4" s="6" t="inlineStr">
        <is>
          <t>RQ314SOSSP</t>
        </is>
      </c>
      <c r="B4" s="21" t="n">
        <v>4.99</v>
      </c>
      <c r="C4" s="12" t="n">
        <v>0.2324649298597194</v>
      </c>
    </row>
    <row r="5">
      <c r="A5" s="6" t="inlineStr">
        <is>
          <t>RQ314SRSSP</t>
        </is>
      </c>
      <c r="B5" s="21" t="n">
        <v>3.39</v>
      </c>
      <c r="C5" s="12" t="n">
        <v>0.2747747583413698</v>
      </c>
    </row>
    <row r="6">
      <c r="A6" s="6" t="inlineStr">
        <is>
          <t>RH2SOSNB</t>
        </is>
      </c>
      <c r="B6" s="21" t="n">
        <v>5.09</v>
      </c>
      <c r="C6" s="12" t="n">
        <v>0.3015796473465185</v>
      </c>
    </row>
    <row r="7">
      <c r="A7" s="6" t="inlineStr">
        <is>
          <t>RH2SOSNB-24</t>
        </is>
      </c>
      <c r="B7" s="21" t="n">
        <v>4.39</v>
      </c>
      <c r="C7" s="12" t="n">
        <v>0.2596810933940774</v>
      </c>
    </row>
    <row r="8">
      <c r="A8" s="6" t="inlineStr">
        <is>
          <t>RH2SRSNB</t>
        </is>
      </c>
      <c r="B8" s="21" t="n">
        <v>3.59</v>
      </c>
      <c r="C8" s="12" t="n">
        <v>0.360596777717335</v>
      </c>
    </row>
    <row r="9">
      <c r="A9" s="6" t="inlineStr">
        <is>
          <t>RH2SRS</t>
        </is>
      </c>
      <c r="B9" s="21" t="n">
        <v>3.59</v>
      </c>
      <c r="C9" s="12" t="n">
        <v>0.2473986409026828</v>
      </c>
    </row>
    <row r="10">
      <c r="A10" s="6" t="inlineStr">
        <is>
          <t>RQ112SOSNB</t>
        </is>
      </c>
      <c r="B10" s="21" t="n">
        <v>6.69</v>
      </c>
      <c r="C10" s="12" t="n">
        <v>0.3017937219730941</v>
      </c>
    </row>
    <row r="11">
      <c r="A11" s="6" t="inlineStr">
        <is>
          <t>RQ112SRSNB</t>
        </is>
      </c>
      <c r="B11" s="21" t="n">
        <v>5.09</v>
      </c>
      <c r="C11" s="12" t="n">
        <v>0.2984282907662082</v>
      </c>
    </row>
    <row r="12">
      <c r="A12" s="6" t="inlineStr">
        <is>
          <t>RQ3SOB</t>
        </is>
      </c>
      <c r="B12" s="21" t="n">
        <v>5.89</v>
      </c>
      <c r="C12" s="12" t="n">
        <v>0.2853912096385123</v>
      </c>
    </row>
    <row r="13">
      <c r="A13" s="6" t="inlineStr">
        <is>
          <t>RQ3SOS</t>
        </is>
      </c>
      <c r="B13" s="21" t="n">
        <v>5.89</v>
      </c>
      <c r="C13" s="12" t="n">
        <v>0.2828738751112337</v>
      </c>
    </row>
    <row r="14">
      <c r="A14" s="6" t="inlineStr">
        <is>
          <t>RQ3SRB</t>
        </is>
      </c>
      <c r="B14" s="21" t="n">
        <v>4.89</v>
      </c>
      <c r="C14" s="12" t="n">
        <v>0.4033333333333334</v>
      </c>
    </row>
    <row r="15">
      <c r="A15" s="6" t="inlineStr">
        <is>
          <t>RQ3SRS</t>
        </is>
      </c>
      <c r="B15" s="21" t="n">
        <v>4.99</v>
      </c>
      <c r="C15" s="12" t="n">
        <v>0.2988373806436404</v>
      </c>
    </row>
    <row r="16">
      <c r="A16" s="6" t="inlineStr">
        <is>
          <t>RQ4SOB</t>
        </is>
      </c>
      <c r="B16" s="21" t="n">
        <v>5.99</v>
      </c>
      <c r="C16" s="12" t="n">
        <v>0.2841415800527763</v>
      </c>
    </row>
    <row r="17">
      <c r="A17" s="6" t="inlineStr">
        <is>
          <t>RQ4SOS</t>
        </is>
      </c>
      <c r="B17" s="21" t="n">
        <v>6.49</v>
      </c>
      <c r="C17" s="12" t="n">
        <v>0.2961286594761171</v>
      </c>
    </row>
    <row r="18">
      <c r="A18" s="6" t="inlineStr">
        <is>
          <t>RQ4SRB</t>
        </is>
      </c>
      <c r="B18" s="21" t="n">
        <v>4.79</v>
      </c>
      <c r="C18" s="12" t="n">
        <v>0.279421802668603</v>
      </c>
    </row>
    <row r="19">
      <c r="A19" s="6" t="inlineStr">
        <is>
          <t>RQ4SRS</t>
        </is>
      </c>
      <c r="B19" s="21" t="n">
        <v>4.89</v>
      </c>
      <c r="C19" s="12" t="n">
        <v>0.2926615632408563</v>
      </c>
    </row>
    <row r="20">
      <c r="A20" s="6" t="inlineStr">
        <is>
          <t>RQ5SOB</t>
        </is>
      </c>
      <c r="B20" s="21" t="n">
        <v>7.09</v>
      </c>
      <c r="C20" s="12" t="n">
        <v>0.3060648801128349</v>
      </c>
    </row>
    <row r="21">
      <c r="A21" s="6" t="inlineStr">
        <is>
          <t>RQ5SOS</t>
        </is>
      </c>
      <c r="B21" s="21" t="n">
        <v>7.09</v>
      </c>
      <c r="C21" s="12" t="n">
        <v>0.3190409026798307</v>
      </c>
    </row>
    <row r="22">
      <c r="A22" s="6" t="inlineStr">
        <is>
          <t>RQ5SRB</t>
        </is>
      </c>
      <c r="B22" s="21" t="n">
        <v>4.89</v>
      </c>
      <c r="C22" s="12" t="n">
        <v>0.3006134969325153</v>
      </c>
    </row>
    <row r="23">
      <c r="A23" s="6" t="inlineStr">
        <is>
          <t>RQ5SRSI</t>
        </is>
      </c>
      <c r="B23" s="21" t="n">
        <v>4.89</v>
      </c>
      <c r="C23" s="12" t="n">
        <v>0.3001600426780474</v>
      </c>
    </row>
    <row r="24">
      <c r="A24" s="6" t="inlineStr">
        <is>
          <t>RQ6SOB</t>
        </is>
      </c>
      <c r="B24" s="21" t="n">
        <v>6.59</v>
      </c>
      <c r="C24" s="12" t="n">
        <v>0.2995447647951442</v>
      </c>
    </row>
    <row r="25">
      <c r="A25" s="6" t="inlineStr">
        <is>
          <t>RQ6SOS</t>
        </is>
      </c>
      <c r="B25" s="21" t="n">
        <v>7.29</v>
      </c>
      <c r="C25" s="12" t="n">
        <v>0.3043895747599452</v>
      </c>
    </row>
    <row r="26">
      <c r="A26" s="6" t="inlineStr">
        <is>
          <t>RQ6SRB</t>
        </is>
      </c>
      <c r="B26" s="21" t="n">
        <v>5.69</v>
      </c>
      <c r="C26" s="12" t="n">
        <v>0.2869595782073813</v>
      </c>
    </row>
    <row r="27">
      <c r="A27" s="6" t="inlineStr">
        <is>
          <t>RQ6SRS</t>
        </is>
      </c>
      <c r="B27" s="21" t="n">
        <v>5.29</v>
      </c>
      <c r="C27" s="12" t="n">
        <v>0.290200905613927</v>
      </c>
    </row>
    <row r="28">
      <c r="A28" s="6" t="inlineStr">
        <is>
          <t>RQ7SOB</t>
        </is>
      </c>
      <c r="B28" s="21" t="n">
        <v>7.19</v>
      </c>
      <c r="C28" s="12" t="n">
        <v>0.2828949697334418</v>
      </c>
    </row>
    <row r="29">
      <c r="A29" s="6" t="inlineStr">
        <is>
          <t>RQ7SOS</t>
        </is>
      </c>
      <c r="B29" s="21" t="n">
        <v>7.19</v>
      </c>
      <c r="C29" s="12" t="n">
        <v>0.2808066759388038</v>
      </c>
    </row>
    <row r="30">
      <c r="A30" s="6" t="inlineStr">
        <is>
          <t>RQ7SRB</t>
        </is>
      </c>
      <c r="B30" s="21" t="n">
        <v>4.99</v>
      </c>
      <c r="C30" s="12" t="n">
        <v>0.285370741482966</v>
      </c>
    </row>
    <row r="31">
      <c r="A31" s="6" t="inlineStr">
        <is>
          <t>RQ7SRS</t>
        </is>
      </c>
      <c r="B31" s="21" t="n">
        <v>4.99</v>
      </c>
      <c r="C31" s="12" t="n">
        <v>0.2803607214428858</v>
      </c>
    </row>
    <row r="32">
      <c r="A32" s="6" t="inlineStr">
        <is>
          <t>RQ214FMS</t>
        </is>
      </c>
      <c r="B32" s="21" t="n">
        <v>5.79</v>
      </c>
      <c r="C32" s="12" t="n">
        <v>0.2763385146804835</v>
      </c>
    </row>
    <row r="33">
      <c r="A33" s="6" t="inlineStr">
        <is>
          <t>RQ214QOSSP</t>
        </is>
      </c>
      <c r="B33" s="21" t="n">
        <v>6.89</v>
      </c>
      <c r="C33" s="12" t="n">
        <v>0.2447024673439768</v>
      </c>
    </row>
    <row r="34">
      <c r="A34" s="6" t="inlineStr">
        <is>
          <t>RQ314FMS</t>
        </is>
      </c>
      <c r="B34" s="21" t="n">
        <v>5.89</v>
      </c>
      <c r="C34" s="12" t="n">
        <v>0.2754305640607125</v>
      </c>
    </row>
    <row r="35">
      <c r="A35" s="6" t="inlineStr">
        <is>
          <t>RQ314QOSSP</t>
        </is>
      </c>
      <c r="B35" s="21" t="n">
        <v>6.79</v>
      </c>
      <c r="C35" s="12" t="n">
        <v>0.2401062188335319</v>
      </c>
    </row>
    <row r="36">
      <c r="A36" s="6" t="inlineStr">
        <is>
          <t>RQ5FMS</t>
        </is>
      </c>
      <c r="B36" s="21" t="n">
        <v>7.59</v>
      </c>
      <c r="C36" s="12" t="n">
        <v>0.2534322229510022</v>
      </c>
    </row>
    <row r="37">
      <c r="A37" s="6" t="inlineStr">
        <is>
          <t>RQ5SOSD</t>
        </is>
      </c>
      <c r="B37" s="21" t="n">
        <v>0</v>
      </c>
      <c r="C37" s="12" t="inlineStr"/>
    </row>
    <row r="38">
      <c r="A38" s="6" t="inlineStr">
        <is>
          <t>RQ5SRS</t>
        </is>
      </c>
      <c r="B38" s="21" t="n">
        <v>4.29</v>
      </c>
      <c r="C38" s="12" t="n">
        <v>0.3511042977123379</v>
      </c>
    </row>
    <row r="39">
      <c r="A39" s="6" t="inlineStr">
        <is>
          <t>RQ314SDS</t>
        </is>
      </c>
      <c r="B39" s="21" t="n">
        <v>6.69</v>
      </c>
      <c r="C39" s="12" t="n">
        <v>0.2552866282987164</v>
      </c>
    </row>
    <row r="40">
      <c r="A40" s="6" t="inlineStr">
        <is>
          <t>RT112SOS</t>
        </is>
      </c>
      <c r="B40" s="21" t="n">
        <v>5.49</v>
      </c>
      <c r="C40" s="12" t="n">
        <v>0.2258652094717669</v>
      </c>
    </row>
    <row r="41">
      <c r="A41" s="6" t="inlineStr">
        <is>
          <t>RQ5SWS</t>
        </is>
      </c>
      <c r="B41" s="21" t="n">
        <v>9.69</v>
      </c>
      <c r="C41" s="12" t="n">
        <v>0.2351192362297079</v>
      </c>
    </row>
    <row r="42">
      <c r="A42" s="6" t="inlineStr">
        <is>
          <t>RT112SRS</t>
        </is>
      </c>
      <c r="B42" s="21" t="n">
        <v>2.99</v>
      </c>
      <c r="C42" s="12" t="n">
        <v>0.2140468227424749</v>
      </c>
    </row>
    <row r="43">
      <c r="A43" s="6" t="inlineStr">
        <is>
          <t>RT2SOSNB-24</t>
        </is>
      </c>
      <c r="B43" s="21" t="n">
        <v>6.19</v>
      </c>
      <c r="C43" s="12" t="n">
        <v>0.2649434571890145</v>
      </c>
    </row>
    <row r="44">
      <c r="A44" s="6" t="inlineStr">
        <is>
          <t>RT2SRSNB-24</t>
        </is>
      </c>
      <c r="B44" s="21" t="n">
        <v>3.79</v>
      </c>
      <c r="C44" s="12" t="n">
        <v>0.2216358839050132</v>
      </c>
    </row>
    <row r="45">
      <c r="A45" s="6" t="inlineStr">
        <is>
          <t>RH112QOSNB-15</t>
        </is>
      </c>
      <c r="B45" s="21" t="n">
        <v>5.69</v>
      </c>
      <c r="C45" s="12" t="n">
        <v>0.0362555567042283</v>
      </c>
    </row>
    <row r="46">
      <c r="A46" s="6" t="inlineStr">
        <is>
          <t>RH112QOSNB-24</t>
        </is>
      </c>
      <c r="B46" s="21" t="n">
        <v>5.69</v>
      </c>
      <c r="C46" s="12" t="n">
        <v>0.305799648506151</v>
      </c>
    </row>
    <row r="47">
      <c r="A47" s="6" t="inlineStr">
        <is>
          <t>RH112QRSNB-15</t>
        </is>
      </c>
      <c r="B47" s="21" t="n">
        <v>5.59</v>
      </c>
      <c r="C47" s="12" t="inlineStr"/>
    </row>
    <row r="48">
      <c r="A48" s="6" t="inlineStr">
        <is>
          <t>RH112QRSNB-24</t>
        </is>
      </c>
      <c r="B48" s="21" t="n">
        <v>5.59</v>
      </c>
      <c r="C48" s="12" t="n">
        <v>0.257602862254025</v>
      </c>
    </row>
    <row r="49">
      <c r="A49" s="6" t="inlineStr">
        <is>
          <t>RH112SOSNB</t>
        </is>
      </c>
      <c r="B49" s="21" t="n">
        <v>5.19</v>
      </c>
      <c r="C49" s="12" t="n">
        <v>0.2113955408753097</v>
      </c>
    </row>
    <row r="50">
      <c r="A50" s="6" t="inlineStr">
        <is>
          <t>RH112SOSNB-15</t>
        </is>
      </c>
      <c r="B50" s="21" t="n">
        <v>5.19</v>
      </c>
      <c r="C50" s="12" t="n">
        <v>0.3073217726396916</v>
      </c>
    </row>
    <row r="51">
      <c r="A51" s="6" t="inlineStr">
        <is>
          <t>RH112SOSNB-24</t>
        </is>
      </c>
      <c r="B51" s="21" t="n">
        <v>5.19</v>
      </c>
      <c r="C51" s="12" t="n">
        <v>0.373795761078998</v>
      </c>
    </row>
    <row r="52">
      <c r="A52" s="6" t="inlineStr">
        <is>
          <t>RH112SRSNB</t>
        </is>
      </c>
      <c r="B52" s="21" t="n">
        <v>4.09</v>
      </c>
      <c r="C52" s="12" t="n">
        <v>0.3124694376528118</v>
      </c>
    </row>
    <row r="53">
      <c r="A53" s="6" t="inlineStr">
        <is>
          <t>RH112SRSNB-15</t>
        </is>
      </c>
      <c r="B53" s="21" t="n">
        <v>4.09</v>
      </c>
      <c r="C53" s="12" t="n">
        <v>0.2579462102689485</v>
      </c>
    </row>
    <row r="54">
      <c r="A54" s="6" t="inlineStr">
        <is>
          <t>RH112SRSNB-24</t>
        </is>
      </c>
      <c r="B54" s="21" t="n">
        <v>4.09</v>
      </c>
      <c r="C54" s="12" t="n">
        <v>0.2713936430317848</v>
      </c>
    </row>
    <row r="55">
      <c r="A55" s="6" t="inlineStr">
        <is>
          <t>RH2QOSNB</t>
        </is>
      </c>
      <c r="B55" s="21" t="n">
        <v>5.99</v>
      </c>
      <c r="C55" s="12" t="n">
        <v>0.5515988185437268</v>
      </c>
    </row>
    <row r="56">
      <c r="A56" s="6" t="inlineStr">
        <is>
          <t>RH2QOSNB-20</t>
        </is>
      </c>
      <c r="B56" s="21" t="n">
        <v>5.99</v>
      </c>
      <c r="C56" s="12" t="n">
        <v>0.2139677239844185</v>
      </c>
    </row>
    <row r="57">
      <c r="A57" s="6" t="inlineStr">
        <is>
          <t>RH2QOSNB-24</t>
        </is>
      </c>
      <c r="B57" s="21" t="n">
        <v>5.99</v>
      </c>
      <c r="C57" s="12" t="n">
        <v>0.2897350284662473</v>
      </c>
    </row>
    <row r="58">
      <c r="A58" s="6" t="inlineStr">
        <is>
          <t>RH2QRSNB</t>
        </is>
      </c>
      <c r="B58" s="21" t="n">
        <v>4.89</v>
      </c>
      <c r="C58" s="12" t="n">
        <v>0.3323108384458077</v>
      </c>
    </row>
    <row r="59">
      <c r="A59" s="6" t="inlineStr">
        <is>
          <t>RH2QRSNB-20</t>
        </is>
      </c>
      <c r="B59" s="21" t="n">
        <v>4.89</v>
      </c>
      <c r="C59" s="12" t="inlineStr"/>
    </row>
    <row r="60">
      <c r="A60" s="6" t="inlineStr">
        <is>
          <t>RH2QRSNB-24</t>
        </is>
      </c>
      <c r="B60" s="21" t="n">
        <v>4.89</v>
      </c>
      <c r="C60" s="12" t="n">
        <v>0.2842535787321063</v>
      </c>
    </row>
  </sheetData>
  <autoFilter ref="A1:C6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T66"/>
  <sheetViews>
    <sheetView workbookViewId="0">
      <pane ySplit="1" topLeftCell="A31" activePane="bottomLeft" state="frozen"/>
      <selection pane="bottomLeft" activeCell="I21" sqref="I21"/>
    </sheetView>
  </sheetViews>
  <sheetFormatPr baseColWidth="8" defaultRowHeight="15"/>
  <cols>
    <col width="15.7109375" bestFit="1" customWidth="1" min="1" max="1"/>
    <col width="30.7109375" bestFit="1" customWidth="1" min="2" max="2"/>
    <col width="15.7109375" customWidth="1" min="3" max="8"/>
    <col width="11.140625" customWidth="1" style="22" min="9" max="9"/>
    <col width="13.28515625" customWidth="1" style="22" min="10" max="10"/>
    <col width="12.28515625" customWidth="1" style="22" min="11" max="11"/>
    <col width="10.7109375" customWidth="1" style="22" min="12" max="12"/>
    <col width="12.140625" customWidth="1" style="22" min="13" max="13"/>
    <col width="10.7109375" customWidth="1" style="22" min="14" max="14"/>
    <col width="12.140625" customWidth="1" style="22" min="15" max="15"/>
    <col width="11.5703125" bestFit="1" customWidth="1" style="4" min="16" max="16"/>
    <col width="9.140625" customWidth="1" style="4" min="17" max="17"/>
    <col width="15.7109375" bestFit="1" customWidth="1" min="18" max="19"/>
  </cols>
  <sheetData>
    <row r="1" customFormat="1" s="2">
      <c r="A1" s="2" t="inlineStr">
        <is>
          <t>Item Number</t>
        </is>
      </c>
      <c r="B1" s="2" t="inlineStr">
        <is>
          <t>Description</t>
        </is>
      </c>
      <c r="C1" s="5" t="inlineStr">
        <is>
          <t>Thickness</t>
        </is>
      </c>
      <c r="D1" s="5" t="inlineStr">
        <is>
          <t>Width</t>
        </is>
      </c>
      <c r="E1" s="5" t="inlineStr">
        <is>
          <t>Species</t>
        </is>
      </c>
      <c r="F1" s="5" t="inlineStr">
        <is>
          <t>Grade/Cut</t>
        </is>
      </c>
      <c r="G1" s="5" t="inlineStr">
        <is>
          <t>Edge</t>
        </is>
      </c>
      <c r="H1" s="5" t="inlineStr">
        <is>
          <t>Bundles</t>
        </is>
      </c>
      <c r="I1" s="23" t="inlineStr">
        <is>
          <t>Indiana</t>
        </is>
      </c>
      <c r="J1" s="23" t="inlineStr">
        <is>
          <t>Dayspring</t>
        </is>
      </c>
      <c r="K1" s="23" t="inlineStr">
        <is>
          <t>Mullican</t>
        </is>
      </c>
      <c r="L1" s="23" t="inlineStr">
        <is>
          <t>Macon</t>
        </is>
      </c>
      <c r="M1" s="23" t="inlineStr">
        <is>
          <t>Anthony</t>
        </is>
      </c>
      <c r="N1" s="23" t="inlineStr">
        <is>
          <t>Orillia</t>
        </is>
      </c>
      <c r="O1" s="23" t="inlineStr">
        <is>
          <t>Lebanon</t>
        </is>
      </c>
      <c r="P1" s="23" t="inlineStr">
        <is>
          <t>Merrick</t>
        </is>
      </c>
      <c r="S1" s="2" t="inlineStr">
        <is>
          <t>FEED IN TOTALS</t>
        </is>
      </c>
    </row>
    <row r="2">
      <c r="A2" t="inlineStr">
        <is>
          <t>DF512PI</t>
        </is>
      </c>
      <c r="B2" t="inlineStr">
        <is>
          <t>1" X 6" IPE DECK FLOORING (RL)</t>
        </is>
      </c>
      <c r="C2" t="inlineStr">
        <is>
          <t>1"</t>
        </is>
      </c>
      <c r="D2" t="inlineStr">
        <is>
          <t>6"</t>
        </is>
      </c>
      <c r="E2" t="inlineStr">
        <is>
          <t>Ipe</t>
        </is>
      </c>
      <c r="H2" t="inlineStr">
        <is>
          <t>Random Length</t>
        </is>
      </c>
      <c r="I2" s="22" t="inlineStr"/>
      <c r="J2" s="22" t="inlineStr">
        <is>
          <t>Dayspring</t>
        </is>
      </c>
      <c r="L2" s="22" t="inlineStr">
        <is>
          <t>Macon</t>
        </is>
      </c>
      <c r="M2" s="22" t="inlineStr">
        <is>
          <t>Anthony</t>
        </is>
      </c>
      <c r="P2" s="22" t="n"/>
      <c r="R2" s="4" t="n"/>
      <c r="S2" s="1" t="inlineStr">
        <is>
          <t>RH112QOSNB-15</t>
        </is>
      </c>
      <c r="T2" t="inlineStr">
        <is>
          <t>ORILLIA</t>
        </is>
      </c>
    </row>
    <row r="3">
      <c r="A3" t="inlineStr">
        <is>
          <t>DF512PIL</t>
        </is>
      </c>
      <c r="B3" t="inlineStr">
        <is>
          <t>1" X 6" IPE DECK FLOORING (LL)</t>
        </is>
      </c>
      <c r="C3" t="inlineStr">
        <is>
          <t>1"</t>
        </is>
      </c>
      <c r="D3" t="inlineStr">
        <is>
          <t>6"</t>
        </is>
      </c>
      <c r="E3" t="inlineStr">
        <is>
          <t>Ipe</t>
        </is>
      </c>
      <c r="H3" t="inlineStr">
        <is>
          <t>Long Length</t>
        </is>
      </c>
      <c r="I3" s="22" t="inlineStr"/>
      <c r="J3" s="22" t="inlineStr">
        <is>
          <t>Dayspring</t>
        </is>
      </c>
      <c r="L3" s="22" t="inlineStr">
        <is>
          <t>Macon</t>
        </is>
      </c>
      <c r="M3" s="22" t="inlineStr">
        <is>
          <t>Anthony</t>
        </is>
      </c>
      <c r="P3" s="22" t="n"/>
      <c r="R3" s="4" t="n"/>
      <c r="S3" s="1" t="inlineStr">
        <is>
          <t>RH112QOSNB-24</t>
        </is>
      </c>
      <c r="T3" t="inlineStr">
        <is>
          <t>DAYSPRING</t>
        </is>
      </c>
    </row>
    <row r="4">
      <c r="A4" t="inlineStr">
        <is>
          <t>RH112QOSNB-15</t>
        </is>
      </c>
      <c r="B4" t="inlineStr">
        <is>
          <t xml:space="preserve">1/2 x 1 1/2" R&amp;Q W/O NESTED   </t>
        </is>
      </c>
      <c r="C4" t="inlineStr">
        <is>
          <t>1/2"</t>
        </is>
      </c>
      <c r="D4" t="inlineStr">
        <is>
          <t>1-1/2"</t>
        </is>
      </c>
      <c r="E4" t="inlineStr">
        <is>
          <t>White Oak</t>
        </is>
      </c>
      <c r="F4" t="inlineStr">
        <is>
          <t>Rift &amp; Quarter</t>
        </is>
      </c>
      <c r="H4" t="inlineStr">
        <is>
          <t>Nested</t>
        </is>
      </c>
      <c r="I4" s="22" t="inlineStr"/>
      <c r="L4" s="22" t="inlineStr">
        <is>
          <t>Macon</t>
        </is>
      </c>
      <c r="N4" s="22" t="inlineStr">
        <is>
          <t>Orillia</t>
        </is>
      </c>
      <c r="P4" s="22" t="n"/>
      <c r="R4" s="4" t="n"/>
      <c r="S4" t="inlineStr">
        <is>
          <t>RH112QOSNB*</t>
        </is>
      </c>
      <c r="T4" t="inlineStr">
        <is>
          <t>TOTAL</t>
        </is>
      </c>
    </row>
    <row r="5">
      <c r="A5" t="inlineStr">
        <is>
          <t>RH112QOSNB-24</t>
        </is>
      </c>
      <c r="B5" t="inlineStr">
        <is>
          <t xml:space="preserve">1/2 x 1 1/2" R&amp;Q W/O NESTED   </t>
        </is>
      </c>
      <c r="C5" t="inlineStr">
        <is>
          <t>1/2"</t>
        </is>
      </c>
      <c r="D5" t="inlineStr">
        <is>
          <t>1-1/2"</t>
        </is>
      </c>
      <c r="E5" t="inlineStr">
        <is>
          <t>White Oak</t>
        </is>
      </c>
      <c r="F5" t="inlineStr">
        <is>
          <t>Rift &amp; Quarter</t>
        </is>
      </c>
      <c r="H5" t="inlineStr">
        <is>
          <t>Nested</t>
        </is>
      </c>
      <c r="I5" s="22" t="inlineStr"/>
      <c r="J5" s="22" t="inlineStr">
        <is>
          <t>Dayspring</t>
        </is>
      </c>
      <c r="L5" s="22" t="inlineStr">
        <is>
          <t>Macon</t>
        </is>
      </c>
      <c r="P5" s="22" t="n"/>
      <c r="R5" s="4" t="n"/>
      <c r="S5" s="1" t="inlineStr">
        <is>
          <t>RH112QRSNB-15</t>
        </is>
      </c>
      <c r="T5" t="inlineStr">
        <is>
          <t>ORILLIA</t>
        </is>
      </c>
    </row>
    <row r="6">
      <c r="A6" t="inlineStr">
        <is>
          <t>RH112QRSNB-15</t>
        </is>
      </c>
      <c r="B6" t="inlineStr">
        <is>
          <t xml:space="preserve">1/2 x 1 1/2" R&amp;Q R/O NESTED   </t>
        </is>
      </c>
      <c r="C6" t="inlineStr">
        <is>
          <t>1/2"</t>
        </is>
      </c>
      <c r="D6" t="inlineStr">
        <is>
          <t>1-1/2"</t>
        </is>
      </c>
      <c r="E6" t="inlineStr">
        <is>
          <t>Red Oak</t>
        </is>
      </c>
      <c r="F6" t="inlineStr">
        <is>
          <t>Rift &amp; Quarter</t>
        </is>
      </c>
      <c r="H6" t="inlineStr">
        <is>
          <t>Nested</t>
        </is>
      </c>
      <c r="I6" s="22" t="inlineStr"/>
      <c r="L6" s="22" t="inlineStr">
        <is>
          <t>Macon</t>
        </is>
      </c>
      <c r="N6" s="22" t="inlineStr">
        <is>
          <t>Orillia</t>
        </is>
      </c>
      <c r="P6" s="22" t="n"/>
      <c r="R6" s="4" t="n"/>
      <c r="S6" s="1" t="inlineStr">
        <is>
          <t>RH112QRSNB-24</t>
        </is>
      </c>
      <c r="T6" t="inlineStr">
        <is>
          <t>DAYSPRING</t>
        </is>
      </c>
    </row>
    <row r="7">
      <c r="A7" t="inlineStr">
        <is>
          <t>RH112QRSNB-24</t>
        </is>
      </c>
      <c r="B7" t="inlineStr">
        <is>
          <t xml:space="preserve">1/2 x 1 1/2" R&amp;Q R/O NESTED   </t>
        </is>
      </c>
      <c r="C7" t="inlineStr">
        <is>
          <t>1/2"</t>
        </is>
      </c>
      <c r="D7" t="inlineStr">
        <is>
          <t>1-1/2"</t>
        </is>
      </c>
      <c r="E7" t="inlineStr">
        <is>
          <t>Red Oak</t>
        </is>
      </c>
      <c r="F7" t="inlineStr">
        <is>
          <t>Rift &amp; Quarter</t>
        </is>
      </c>
      <c r="H7" t="inlineStr">
        <is>
          <t>Nested</t>
        </is>
      </c>
      <c r="I7" s="22" t="inlineStr"/>
      <c r="J7" s="22" t="inlineStr">
        <is>
          <t>Dayspring</t>
        </is>
      </c>
      <c r="L7" s="22" t="inlineStr">
        <is>
          <t>Macon</t>
        </is>
      </c>
      <c r="P7" s="22" t="n"/>
      <c r="R7" s="4" t="n"/>
      <c r="S7" t="inlineStr">
        <is>
          <t>RH112QRSNB*</t>
        </is>
      </c>
      <c r="T7" t="inlineStr">
        <is>
          <t>TOTAL</t>
        </is>
      </c>
    </row>
    <row r="8">
      <c r="A8" t="inlineStr">
        <is>
          <t>RH112SOSNB</t>
        </is>
      </c>
      <c r="B8" t="inlineStr">
        <is>
          <t xml:space="preserve">1/2 x 1 1/2 SELECT W/O NESTED </t>
        </is>
      </c>
      <c r="C8" t="inlineStr">
        <is>
          <t>1/2"</t>
        </is>
      </c>
      <c r="D8" t="inlineStr">
        <is>
          <t>1-1/2"</t>
        </is>
      </c>
      <c r="E8" t="inlineStr">
        <is>
          <t>White Oak</t>
        </is>
      </c>
      <c r="F8" t="inlineStr">
        <is>
          <t>Select</t>
        </is>
      </c>
      <c r="H8" t="inlineStr">
        <is>
          <t>Nested</t>
        </is>
      </c>
      <c r="I8" s="22" t="inlineStr"/>
      <c r="L8" s="22" t="inlineStr">
        <is>
          <t>Macon</t>
        </is>
      </c>
      <c r="O8" s="22" t="inlineStr">
        <is>
          <t>Lebanon</t>
        </is>
      </c>
      <c r="P8" s="22" t="n"/>
      <c r="R8" s="4" t="n"/>
      <c r="S8" s="1" t="inlineStr">
        <is>
          <t>RH2QOSNB</t>
        </is>
      </c>
      <c r="T8" t="inlineStr">
        <is>
          <t>LEBANON</t>
        </is>
      </c>
    </row>
    <row r="9">
      <c r="A9" t="inlineStr">
        <is>
          <t>RH112SOSNB-15</t>
        </is>
      </c>
      <c r="B9" t="inlineStr">
        <is>
          <t>1/2 x 1-1/2" SELECT W/O NESTED</t>
        </is>
      </c>
      <c r="C9" t="inlineStr">
        <is>
          <t>1/2"</t>
        </is>
      </c>
      <c r="D9" t="inlineStr">
        <is>
          <t>1-1/2"</t>
        </is>
      </c>
      <c r="E9" t="inlineStr">
        <is>
          <t>White Oak</t>
        </is>
      </c>
      <c r="F9" t="inlineStr">
        <is>
          <t>Select</t>
        </is>
      </c>
      <c r="H9" t="inlineStr">
        <is>
          <t>Nested</t>
        </is>
      </c>
      <c r="I9" s="22" t="inlineStr"/>
      <c r="L9" s="22" t="inlineStr">
        <is>
          <t>Macon</t>
        </is>
      </c>
      <c r="N9" s="22" t="inlineStr">
        <is>
          <t>Orillia</t>
        </is>
      </c>
      <c r="P9" s="22" t="n"/>
      <c r="R9" s="4" t="n"/>
      <c r="S9" s="1" t="inlineStr">
        <is>
          <t>RH2QOSNB-20</t>
        </is>
      </c>
      <c r="T9" t="inlineStr">
        <is>
          <t>ORILLIA</t>
        </is>
      </c>
    </row>
    <row r="10">
      <c r="A10" t="inlineStr">
        <is>
          <t>RH112SOSNB-24</t>
        </is>
      </c>
      <c r="B10" t="inlineStr">
        <is>
          <t>1/2 x 1 1/2" SELECT W/O NESTED</t>
        </is>
      </c>
      <c r="C10" t="inlineStr">
        <is>
          <t>1/2"</t>
        </is>
      </c>
      <c r="D10" t="inlineStr">
        <is>
          <t>1-1/2"</t>
        </is>
      </c>
      <c r="E10" t="inlineStr">
        <is>
          <t>White Oak</t>
        </is>
      </c>
      <c r="F10" t="inlineStr">
        <is>
          <t>Select</t>
        </is>
      </c>
      <c r="H10" t="inlineStr">
        <is>
          <t>Nested</t>
        </is>
      </c>
      <c r="I10" s="22" t="inlineStr"/>
      <c r="J10" s="22" t="inlineStr">
        <is>
          <t>Dayspring</t>
        </is>
      </c>
      <c r="L10" s="22" t="inlineStr">
        <is>
          <t>Macon</t>
        </is>
      </c>
      <c r="P10" s="22" t="n"/>
      <c r="R10" s="4" t="n"/>
      <c r="S10" s="1" t="inlineStr">
        <is>
          <t>RH2QOSNB-24</t>
        </is>
      </c>
      <c r="T10" t="inlineStr">
        <is>
          <t>DAYSPRING</t>
        </is>
      </c>
    </row>
    <row r="11">
      <c r="A11" t="inlineStr">
        <is>
          <t>RH112SRSNB</t>
        </is>
      </c>
      <c r="B11" t="inlineStr">
        <is>
          <t xml:space="preserve">1/2 x 1 1/2 SELECT R/O NESTED </t>
        </is>
      </c>
      <c r="C11" t="inlineStr">
        <is>
          <t>1/2"</t>
        </is>
      </c>
      <c r="D11" t="inlineStr">
        <is>
          <t>1-1/2"</t>
        </is>
      </c>
      <c r="E11" t="inlineStr">
        <is>
          <t>Red Oak</t>
        </is>
      </c>
      <c r="F11" t="inlineStr">
        <is>
          <t>Select</t>
        </is>
      </c>
      <c r="H11" t="inlineStr">
        <is>
          <t>Nested</t>
        </is>
      </c>
      <c r="I11" s="22" t="inlineStr"/>
      <c r="L11" s="22" t="inlineStr">
        <is>
          <t>Macon</t>
        </is>
      </c>
      <c r="O11" s="22" t="inlineStr">
        <is>
          <t>Lebanon</t>
        </is>
      </c>
      <c r="P11" s="22" t="n"/>
      <c r="R11" s="4" t="n"/>
      <c r="S11" t="inlineStr">
        <is>
          <t>RH2QOSNB*</t>
        </is>
      </c>
      <c r="T11" t="inlineStr">
        <is>
          <t>TOTAL</t>
        </is>
      </c>
    </row>
    <row r="12">
      <c r="A12" t="inlineStr">
        <is>
          <t>RH112SRSNB-15</t>
        </is>
      </c>
      <c r="B12" t="inlineStr">
        <is>
          <t>1/2 x 1-1/2" SELECT R/O NESTED</t>
        </is>
      </c>
      <c r="C12" t="inlineStr">
        <is>
          <t>1/2"</t>
        </is>
      </c>
      <c r="D12" t="inlineStr">
        <is>
          <t>1-1/2"</t>
        </is>
      </c>
      <c r="E12" t="inlineStr">
        <is>
          <t>Red Oak</t>
        </is>
      </c>
      <c r="F12" t="inlineStr">
        <is>
          <t>Select</t>
        </is>
      </c>
      <c r="H12" t="inlineStr">
        <is>
          <t>Nested</t>
        </is>
      </c>
      <c r="I12" s="22" t="inlineStr"/>
      <c r="L12" s="22" t="inlineStr">
        <is>
          <t>Macon</t>
        </is>
      </c>
      <c r="N12" s="22" t="inlineStr">
        <is>
          <t>Orillia</t>
        </is>
      </c>
      <c r="P12" s="22" t="n"/>
      <c r="R12" s="4" t="n"/>
      <c r="S12" s="1" t="inlineStr">
        <is>
          <t>RH2QRSNB</t>
        </is>
      </c>
      <c r="T12" t="inlineStr">
        <is>
          <t>LEBANON</t>
        </is>
      </c>
    </row>
    <row r="13">
      <c r="A13" t="inlineStr">
        <is>
          <t>RH112SRSNB-24</t>
        </is>
      </c>
      <c r="B13" t="inlineStr">
        <is>
          <t>1/2 x 1 1/2" SELECT R/O NESTED</t>
        </is>
      </c>
      <c r="C13" t="inlineStr">
        <is>
          <t>1/2"</t>
        </is>
      </c>
      <c r="D13" t="inlineStr">
        <is>
          <t>1-1/2"</t>
        </is>
      </c>
      <c r="E13" t="inlineStr">
        <is>
          <t>Red Oak</t>
        </is>
      </c>
      <c r="F13" t="inlineStr">
        <is>
          <t>Select</t>
        </is>
      </c>
      <c r="H13" t="inlineStr">
        <is>
          <t>Nested</t>
        </is>
      </c>
      <c r="I13" s="22" t="inlineStr"/>
      <c r="J13" s="22" t="inlineStr">
        <is>
          <t>Dayspring</t>
        </is>
      </c>
      <c r="L13" s="22" t="inlineStr">
        <is>
          <t>Macon</t>
        </is>
      </c>
      <c r="P13" s="22" t="n"/>
      <c r="R13" s="4" t="n"/>
      <c r="S13" s="1" t="inlineStr">
        <is>
          <t>RH2QRSNB-20</t>
        </is>
      </c>
      <c r="T13" t="inlineStr">
        <is>
          <t>ORILLIA</t>
        </is>
      </c>
    </row>
    <row r="14">
      <c r="A14" t="inlineStr">
        <is>
          <t>RH2QOSNB</t>
        </is>
      </c>
      <c r="B14" t="inlineStr">
        <is>
          <t xml:space="preserve">1/2 x 2" RIFT/OTR W/O NESTED  </t>
        </is>
      </c>
      <c r="C14" t="inlineStr">
        <is>
          <t>1/2"</t>
        </is>
      </c>
      <c r="D14" t="inlineStr">
        <is>
          <t>2"</t>
        </is>
      </c>
      <c r="E14" t="inlineStr">
        <is>
          <t>White Oak</t>
        </is>
      </c>
      <c r="F14" t="inlineStr">
        <is>
          <t>Rift &amp; Quarter</t>
        </is>
      </c>
      <c r="H14" t="inlineStr">
        <is>
          <t>Nested</t>
        </is>
      </c>
      <c r="I14" s="22" t="inlineStr"/>
      <c r="L14" s="22" t="inlineStr">
        <is>
          <t>Macon</t>
        </is>
      </c>
      <c r="O14" s="22" t="inlineStr">
        <is>
          <t>Lebanon</t>
        </is>
      </c>
      <c r="P14" s="22" t="n"/>
      <c r="R14" s="4" t="n"/>
      <c r="S14" s="1" t="inlineStr">
        <is>
          <t>RH2QRSNB-24</t>
        </is>
      </c>
      <c r="T14" t="inlineStr">
        <is>
          <t>DAYSPRING</t>
        </is>
      </c>
    </row>
    <row r="15">
      <c r="A15" t="inlineStr">
        <is>
          <t>RH2QOSNB-20</t>
        </is>
      </c>
      <c r="B15" t="inlineStr">
        <is>
          <t xml:space="preserve">1/2 x 2" RIFT/OTR W/O NESTED  </t>
        </is>
      </c>
      <c r="C15" t="inlineStr">
        <is>
          <t>1/2"</t>
        </is>
      </c>
      <c r="D15" t="inlineStr">
        <is>
          <t>2"</t>
        </is>
      </c>
      <c r="E15" t="inlineStr">
        <is>
          <t>White Oak</t>
        </is>
      </c>
      <c r="F15" t="inlineStr">
        <is>
          <t>Rift &amp; Quarter</t>
        </is>
      </c>
      <c r="H15" t="inlineStr">
        <is>
          <t>Nested</t>
        </is>
      </c>
      <c r="I15" s="22" t="inlineStr"/>
      <c r="L15" s="22" t="inlineStr">
        <is>
          <t>Macon</t>
        </is>
      </c>
      <c r="N15" s="22" t="inlineStr">
        <is>
          <t>Orillia</t>
        </is>
      </c>
      <c r="P15" s="22" t="n"/>
      <c r="R15" s="4" t="n"/>
      <c r="S15" t="inlineStr">
        <is>
          <t>RH2QRSNB*</t>
        </is>
      </c>
      <c r="T15" t="inlineStr">
        <is>
          <t>TOTAL</t>
        </is>
      </c>
    </row>
    <row r="16">
      <c r="A16" t="inlineStr">
        <is>
          <t>RH2QOSNB-24</t>
        </is>
      </c>
      <c r="B16" t="inlineStr">
        <is>
          <t xml:space="preserve">1/2 x 2" RIFT/OTR W/O NESTED  </t>
        </is>
      </c>
      <c r="C16" t="inlineStr">
        <is>
          <t>1/2"</t>
        </is>
      </c>
      <c r="D16" t="inlineStr">
        <is>
          <t>2"</t>
        </is>
      </c>
      <c r="E16" t="inlineStr">
        <is>
          <t>White Oak</t>
        </is>
      </c>
      <c r="F16" t="inlineStr">
        <is>
          <t>Rift &amp; Quarter</t>
        </is>
      </c>
      <c r="H16" t="inlineStr">
        <is>
          <t>Nested</t>
        </is>
      </c>
      <c r="I16" s="22" t="inlineStr"/>
      <c r="J16" s="22" t="inlineStr">
        <is>
          <t>Dayspring</t>
        </is>
      </c>
      <c r="L16" s="22" t="inlineStr">
        <is>
          <t>Macon</t>
        </is>
      </c>
      <c r="P16" s="22" t="n"/>
      <c r="R16" s="4" t="n"/>
    </row>
    <row r="17">
      <c r="A17" t="inlineStr">
        <is>
          <t>RH2QRSNB</t>
        </is>
      </c>
      <c r="B17" t="inlineStr">
        <is>
          <t xml:space="preserve">1/2 x 2" RIFT/QTR R/O NESTED  </t>
        </is>
      </c>
      <c r="C17" t="inlineStr">
        <is>
          <t>1/2"</t>
        </is>
      </c>
      <c r="D17" t="inlineStr">
        <is>
          <t>2"</t>
        </is>
      </c>
      <c r="E17" t="inlineStr">
        <is>
          <t>Red Oak</t>
        </is>
      </c>
      <c r="F17" t="inlineStr">
        <is>
          <t>Rift &amp; Quarter</t>
        </is>
      </c>
      <c r="H17" t="inlineStr">
        <is>
          <t>Nested</t>
        </is>
      </c>
      <c r="I17" s="22" t="inlineStr"/>
      <c r="L17" s="22" t="inlineStr">
        <is>
          <t>Macon</t>
        </is>
      </c>
      <c r="O17" s="22" t="inlineStr">
        <is>
          <t>Lebanon</t>
        </is>
      </c>
      <c r="P17" s="22" t="n"/>
      <c r="R17" s="4" t="n"/>
    </row>
    <row r="18">
      <c r="A18" t="inlineStr">
        <is>
          <t>RH2QRSNB-20</t>
        </is>
      </c>
      <c r="B18" t="inlineStr">
        <is>
          <t xml:space="preserve">1/2 x 2" RIFT/QTR R/O NESTED  </t>
        </is>
      </c>
      <c r="C18" t="inlineStr">
        <is>
          <t>1/2"</t>
        </is>
      </c>
      <c r="D18" t="inlineStr">
        <is>
          <t>2"</t>
        </is>
      </c>
      <c r="E18" t="inlineStr">
        <is>
          <t>Red Oak</t>
        </is>
      </c>
      <c r="F18" t="inlineStr">
        <is>
          <t>Rift &amp; Quarter</t>
        </is>
      </c>
      <c r="H18" t="inlineStr">
        <is>
          <t>Nested</t>
        </is>
      </c>
      <c r="I18" s="22" t="inlineStr"/>
      <c r="L18" s="22" t="inlineStr">
        <is>
          <t>Macon</t>
        </is>
      </c>
      <c r="N18" s="22" t="inlineStr">
        <is>
          <t>Orillia</t>
        </is>
      </c>
      <c r="P18" s="22" t="n"/>
      <c r="R18" s="4" t="n"/>
    </row>
    <row r="19">
      <c r="A19" t="inlineStr">
        <is>
          <t>RH2QRSNB-24</t>
        </is>
      </c>
      <c r="B19" t="inlineStr">
        <is>
          <t xml:space="preserve">1/2 x 2" RIFT/QTR R/O NESTED  </t>
        </is>
      </c>
      <c r="C19" t="inlineStr">
        <is>
          <t>1/2"</t>
        </is>
      </c>
      <c r="D19" t="inlineStr">
        <is>
          <t>2"</t>
        </is>
      </c>
      <c r="E19" t="inlineStr">
        <is>
          <t>Red Oak</t>
        </is>
      </c>
      <c r="F19" t="inlineStr">
        <is>
          <t>Rift &amp; Quarter</t>
        </is>
      </c>
      <c r="H19" t="inlineStr">
        <is>
          <t>Nested</t>
        </is>
      </c>
      <c r="I19" s="22" t="inlineStr"/>
      <c r="J19" s="22" t="inlineStr">
        <is>
          <t>Dayspring</t>
        </is>
      </c>
      <c r="L19" s="22" t="inlineStr">
        <is>
          <t>Macon</t>
        </is>
      </c>
      <c r="P19" s="22" t="n"/>
      <c r="R19" s="4" t="n"/>
    </row>
    <row r="20">
      <c r="A20" t="inlineStr">
        <is>
          <t>RH2SOSNB</t>
        </is>
      </c>
      <c r="B20" t="inlineStr">
        <is>
          <t>1/2 x 2" SELECT W/O NESTED BND</t>
        </is>
      </c>
      <c r="C20" t="inlineStr">
        <is>
          <t>1/2"</t>
        </is>
      </c>
      <c r="D20" t="inlineStr">
        <is>
          <t>2"</t>
        </is>
      </c>
      <c r="E20" t="inlineStr">
        <is>
          <t>White Oak</t>
        </is>
      </c>
      <c r="F20" t="inlineStr">
        <is>
          <t>Select</t>
        </is>
      </c>
      <c r="H20" t="inlineStr">
        <is>
          <t>Nested</t>
        </is>
      </c>
      <c r="I20" s="22" t="inlineStr"/>
      <c r="L20" s="22" t="inlineStr">
        <is>
          <t>Macon</t>
        </is>
      </c>
      <c r="P20" s="22" t="n"/>
      <c r="R20" s="4" t="n"/>
    </row>
    <row r="21">
      <c r="A21" t="inlineStr">
        <is>
          <t>RH2SOSNB-20</t>
        </is>
      </c>
      <c r="B21" t="inlineStr">
        <is>
          <t xml:space="preserve">1/2 x 2" SELECT W/O NESTED    </t>
        </is>
      </c>
      <c r="C21" t="inlineStr">
        <is>
          <t>1/2"</t>
        </is>
      </c>
      <c r="D21" t="inlineStr">
        <is>
          <t>2"</t>
        </is>
      </c>
      <c r="E21" t="inlineStr">
        <is>
          <t>White Oak</t>
        </is>
      </c>
      <c r="F21" t="inlineStr">
        <is>
          <t>Select</t>
        </is>
      </c>
      <c r="H21" t="inlineStr">
        <is>
          <t>Nested</t>
        </is>
      </c>
      <c r="I21" s="22" t="inlineStr"/>
      <c r="L21" s="22" t="inlineStr">
        <is>
          <t>Macon</t>
        </is>
      </c>
      <c r="P21" s="22" t="n"/>
      <c r="R21" s="4" t="n"/>
    </row>
    <row r="22">
      <c r="A22" t="inlineStr">
        <is>
          <t>RH2SOSNB-24</t>
        </is>
      </c>
      <c r="B22" t="inlineStr">
        <is>
          <t>1/2 x 2" SELECT W/O NESTED BND</t>
        </is>
      </c>
      <c r="C22" t="inlineStr">
        <is>
          <t>1/2"</t>
        </is>
      </c>
      <c r="D22" t="inlineStr">
        <is>
          <t>2"</t>
        </is>
      </c>
      <c r="E22" t="inlineStr">
        <is>
          <t>White Oak</t>
        </is>
      </c>
      <c r="F22" t="inlineStr">
        <is>
          <t>Select</t>
        </is>
      </c>
      <c r="H22" t="inlineStr">
        <is>
          <t>Nested</t>
        </is>
      </c>
      <c r="I22" s="22" t="inlineStr"/>
      <c r="L22" s="22" t="inlineStr">
        <is>
          <t>Macon</t>
        </is>
      </c>
      <c r="P22" s="22" t="n"/>
      <c r="R22" s="4" t="n"/>
    </row>
    <row r="23">
      <c r="A23" t="inlineStr">
        <is>
          <t>RH2SRS</t>
        </is>
      </c>
      <c r="B23" t="inlineStr">
        <is>
          <t>1/2 x 2" SELECT R/O NESTED BND</t>
        </is>
      </c>
      <c r="C23" t="inlineStr">
        <is>
          <t>1/2"</t>
        </is>
      </c>
      <c r="D23" t="inlineStr">
        <is>
          <t>2"</t>
        </is>
      </c>
      <c r="E23" t="inlineStr">
        <is>
          <t>Red Oak</t>
        </is>
      </c>
      <c r="F23" t="inlineStr">
        <is>
          <t>Select</t>
        </is>
      </c>
      <c r="H23" t="inlineStr">
        <is>
          <t>Nested</t>
        </is>
      </c>
      <c r="I23" s="22" t="inlineStr"/>
      <c r="L23" s="22" t="inlineStr">
        <is>
          <t>Macon</t>
        </is>
      </c>
      <c r="P23" s="22" t="n"/>
      <c r="R23" s="4" t="n"/>
    </row>
    <row r="24">
      <c r="A24" t="inlineStr">
        <is>
          <t>RH2SRSNB</t>
        </is>
      </c>
      <c r="B24" t="inlineStr">
        <is>
          <t>1/2 x 2" SELECT R/O NESTED BND</t>
        </is>
      </c>
      <c r="C24" t="inlineStr">
        <is>
          <t>1/2"</t>
        </is>
      </c>
      <c r="D24" t="inlineStr">
        <is>
          <t>2"</t>
        </is>
      </c>
      <c r="E24" t="inlineStr">
        <is>
          <t>Red Oak</t>
        </is>
      </c>
      <c r="F24" t="inlineStr">
        <is>
          <t>Select</t>
        </is>
      </c>
      <c r="H24" t="inlineStr">
        <is>
          <t>Nested</t>
        </is>
      </c>
      <c r="I24" s="22" t="inlineStr"/>
      <c r="J24" s="22" t="inlineStr">
        <is>
          <t>Dayspring</t>
        </is>
      </c>
      <c r="L24" s="22" t="inlineStr">
        <is>
          <t>Macon</t>
        </is>
      </c>
      <c r="M24" s="22" t="inlineStr">
        <is>
          <t>Anthony</t>
        </is>
      </c>
      <c r="P24" s="22" t="n"/>
      <c r="R24" s="4" t="n"/>
    </row>
    <row r="25">
      <c r="A25" t="inlineStr">
        <is>
          <t>RH2SRSNB-20</t>
        </is>
      </c>
      <c r="B25" t="inlineStr">
        <is>
          <t xml:space="preserve">1/2 x 2" SELECT R/O NESTED    </t>
        </is>
      </c>
      <c r="C25" t="inlineStr">
        <is>
          <t>1/2"</t>
        </is>
      </c>
      <c r="D25" t="inlineStr">
        <is>
          <t>2"</t>
        </is>
      </c>
      <c r="E25" t="inlineStr">
        <is>
          <t>Red Oak</t>
        </is>
      </c>
      <c r="F25" t="inlineStr">
        <is>
          <t>Select</t>
        </is>
      </c>
      <c r="H25" t="inlineStr">
        <is>
          <t>Nested</t>
        </is>
      </c>
      <c r="I25" s="22" t="inlineStr"/>
      <c r="L25" s="22" t="inlineStr">
        <is>
          <t>Macon</t>
        </is>
      </c>
      <c r="P25" s="22" t="n"/>
      <c r="R25" s="4" t="n"/>
    </row>
    <row r="26">
      <c r="A26" t="inlineStr">
        <is>
          <t>RQ112SOSNB</t>
        </is>
      </c>
      <c r="B26" t="inlineStr">
        <is>
          <t>3/4 x 1 1/2" SELECT W/O NESTED</t>
        </is>
      </c>
      <c r="C26" t="inlineStr">
        <is>
          <t>3/4"</t>
        </is>
      </c>
      <c r="D26" t="inlineStr">
        <is>
          <t>1-1/2"</t>
        </is>
      </c>
      <c r="E26" t="inlineStr">
        <is>
          <t>White Oak</t>
        </is>
      </c>
      <c r="F26" t="inlineStr">
        <is>
          <t>Select</t>
        </is>
      </c>
      <c r="H26" t="inlineStr">
        <is>
          <t>Nested</t>
        </is>
      </c>
      <c r="I26" s="22" t="n">
        <v>4.5</v>
      </c>
      <c r="L26" s="22" t="inlineStr">
        <is>
          <t>Macon</t>
        </is>
      </c>
      <c r="P26" s="22" t="n"/>
      <c r="R26" s="4" t="n"/>
    </row>
    <row r="27">
      <c r="A27" t="inlineStr">
        <is>
          <t>RQ112SRSNB</t>
        </is>
      </c>
      <c r="B27" t="inlineStr">
        <is>
          <t>3/4 x 1 1/2" SELECT R/O NESTED</t>
        </is>
      </c>
      <c r="C27" t="inlineStr">
        <is>
          <t>3/4"</t>
        </is>
      </c>
      <c r="D27" t="inlineStr">
        <is>
          <t>1-1/2"</t>
        </is>
      </c>
      <c r="E27" t="inlineStr">
        <is>
          <t>Red Oak</t>
        </is>
      </c>
      <c r="F27" t="inlineStr">
        <is>
          <t>Select</t>
        </is>
      </c>
      <c r="H27" t="inlineStr">
        <is>
          <t>Nested</t>
        </is>
      </c>
      <c r="I27" s="22" t="n">
        <v>3.5</v>
      </c>
      <c r="L27" s="22" t="inlineStr">
        <is>
          <t>Macon</t>
        </is>
      </c>
      <c r="P27" s="22" t="n"/>
      <c r="R27" s="4" t="n"/>
    </row>
    <row r="28">
      <c r="A28" t="inlineStr">
        <is>
          <t>RQ214FMS</t>
        </is>
      </c>
      <c r="B28" t="inlineStr">
        <is>
          <t>3/4 x 2-1/4 1ST/SEL.MAPLE UNF.</t>
        </is>
      </c>
      <c r="C28" t="inlineStr">
        <is>
          <t>3/4"</t>
        </is>
      </c>
      <c r="D28" t="inlineStr">
        <is>
          <t>2-1/4"</t>
        </is>
      </c>
      <c r="E28" t="inlineStr">
        <is>
          <t>Maple</t>
        </is>
      </c>
      <c r="F28" t="inlineStr">
        <is>
          <t>1st/Select</t>
        </is>
      </c>
      <c r="I28" s="22" t="n">
        <v>4.3</v>
      </c>
      <c r="J28" s="22" t="inlineStr">
        <is>
          <t>Dayspring</t>
        </is>
      </c>
      <c r="K28" s="22" t="n">
        <v>3.89</v>
      </c>
      <c r="L28" s="22" t="inlineStr">
        <is>
          <t>Macon</t>
        </is>
      </c>
      <c r="M28" s="22" t="inlineStr">
        <is>
          <t>Anthony</t>
        </is>
      </c>
      <c r="P28" s="22" t="n"/>
      <c r="R28" s="4" t="n"/>
    </row>
    <row r="29">
      <c r="A29" t="inlineStr">
        <is>
          <t>RQ214QOSSP</t>
        </is>
      </c>
      <c r="B29" t="inlineStr">
        <is>
          <t>3/4 x 2-1/4" RIFT/QTR WHITE OA</t>
        </is>
      </c>
      <c r="C29" t="inlineStr">
        <is>
          <t>3/4"</t>
        </is>
      </c>
      <c r="D29" t="inlineStr">
        <is>
          <t>2-1/4"</t>
        </is>
      </c>
      <c r="E29" t="inlineStr">
        <is>
          <t>White Oak</t>
        </is>
      </c>
      <c r="F29" t="inlineStr">
        <is>
          <t>Rift &amp; Quarter</t>
        </is>
      </c>
      <c r="I29" s="22" t="n">
        <v>5.1</v>
      </c>
      <c r="J29" s="22" t="inlineStr">
        <is>
          <t>Dayspring</t>
        </is>
      </c>
      <c r="K29" s="22" t="n">
        <v>3.99</v>
      </c>
      <c r="L29" s="22" t="inlineStr">
        <is>
          <t>Macon</t>
        </is>
      </c>
      <c r="M29" s="22" t="inlineStr">
        <is>
          <t>Anthony</t>
        </is>
      </c>
      <c r="P29" s="22" t="n"/>
      <c r="R29" s="4" t="n"/>
    </row>
    <row r="30">
      <c r="A30" t="inlineStr">
        <is>
          <t>RQ214SOSSP</t>
        </is>
      </c>
      <c r="B30" t="inlineStr">
        <is>
          <t xml:space="preserve">3/4 x 2-1/4 SEL/BTR WHITE OAK </t>
        </is>
      </c>
      <c r="C30" t="inlineStr">
        <is>
          <t>3/4"</t>
        </is>
      </c>
      <c r="D30" t="inlineStr">
        <is>
          <t>2-1/4"</t>
        </is>
      </c>
      <c r="E30" t="inlineStr">
        <is>
          <t>White Oak</t>
        </is>
      </c>
      <c r="F30" t="inlineStr">
        <is>
          <t>Select &amp; Better</t>
        </is>
      </c>
      <c r="I30" s="22" t="n">
        <v>4.4</v>
      </c>
      <c r="K30" s="22" t="n">
        <v>3.65</v>
      </c>
      <c r="L30" s="22" t="inlineStr">
        <is>
          <t>Macon</t>
        </is>
      </c>
      <c r="P30" s="22" t="n"/>
      <c r="R30" s="4" t="n"/>
    </row>
    <row r="31">
      <c r="A31" t="inlineStr">
        <is>
          <t>RQ214SRSSP</t>
        </is>
      </c>
      <c r="B31" t="inlineStr">
        <is>
          <t xml:space="preserve">3/4 X 2-1/4 SELECT RED OAK    </t>
        </is>
      </c>
      <c r="C31" t="inlineStr">
        <is>
          <t>3/4"</t>
        </is>
      </c>
      <c r="D31" t="inlineStr">
        <is>
          <t>2-1/4"</t>
        </is>
      </c>
      <c r="E31" t="inlineStr">
        <is>
          <t>Red Oak</t>
        </is>
      </c>
      <c r="F31" t="inlineStr">
        <is>
          <t>Select</t>
        </is>
      </c>
      <c r="I31" s="22" t="n">
        <v>3.5</v>
      </c>
      <c r="K31" s="22" t="n">
        <v>2.55</v>
      </c>
      <c r="L31" s="22" t="inlineStr">
        <is>
          <t>Macon</t>
        </is>
      </c>
      <c r="P31" s="22" t="n"/>
      <c r="R31" s="4" t="n"/>
    </row>
    <row r="32">
      <c r="A32" t="inlineStr">
        <is>
          <t>RQ314FMS</t>
        </is>
      </c>
      <c r="B32" t="inlineStr">
        <is>
          <t>3/4 X 3 1/4 1ST/SEL.MAPLE UNF.</t>
        </is>
      </c>
      <c r="C32" t="inlineStr">
        <is>
          <t>3/4"</t>
        </is>
      </c>
      <c r="D32" t="inlineStr">
        <is>
          <t>3-1/4"</t>
        </is>
      </c>
      <c r="E32" t="inlineStr">
        <is>
          <t>Maple</t>
        </is>
      </c>
      <c r="F32" t="inlineStr">
        <is>
          <t>1st/Select</t>
        </is>
      </c>
      <c r="I32" s="22" t="n">
        <v>4.45</v>
      </c>
      <c r="J32" s="22" t="inlineStr">
        <is>
          <t>Dayspring</t>
        </is>
      </c>
      <c r="K32" s="22" t="n">
        <v>3.59</v>
      </c>
      <c r="L32" s="22" t="inlineStr">
        <is>
          <t>Macon</t>
        </is>
      </c>
      <c r="M32" s="22" t="inlineStr">
        <is>
          <t>Anthony</t>
        </is>
      </c>
      <c r="P32" s="22" t="n"/>
      <c r="R32" s="4" t="n"/>
    </row>
    <row r="33">
      <c r="A33" t="inlineStr">
        <is>
          <t>RQ314QOSSP</t>
        </is>
      </c>
      <c r="B33" t="inlineStr">
        <is>
          <t xml:space="preserve">3/4 X 3 1/4 RIFT/QTR W/O      </t>
        </is>
      </c>
      <c r="C33" t="inlineStr">
        <is>
          <t>3/4"</t>
        </is>
      </c>
      <c r="D33" t="inlineStr">
        <is>
          <t>3-1/4"</t>
        </is>
      </c>
      <c r="E33" t="inlineStr">
        <is>
          <t>White Oak</t>
        </is>
      </c>
      <c r="F33" t="inlineStr">
        <is>
          <t>Rift &amp; Quarter</t>
        </is>
      </c>
      <c r="I33" s="22" t="n">
        <v>5.45</v>
      </c>
      <c r="J33" s="22" t="inlineStr">
        <is>
          <t>Dayspring</t>
        </is>
      </c>
      <c r="K33" s="22" t="n">
        <v>4.19</v>
      </c>
      <c r="L33" s="22" t="inlineStr">
        <is>
          <t>Macon</t>
        </is>
      </c>
      <c r="M33" s="22" t="inlineStr">
        <is>
          <t>Anthony</t>
        </is>
      </c>
      <c r="P33" s="22" t="n"/>
      <c r="R33" s="4" t="n"/>
    </row>
    <row r="34">
      <c r="A34" t="inlineStr">
        <is>
          <t>RQ314SDS</t>
        </is>
      </c>
      <c r="B34" t="inlineStr">
        <is>
          <t xml:space="preserve">3/4 x 3 1/4 DOUGLAS FIR       </t>
        </is>
      </c>
      <c r="C34" t="inlineStr">
        <is>
          <t>3/4"</t>
        </is>
      </c>
      <c r="D34" t="inlineStr">
        <is>
          <t>3-1/4"</t>
        </is>
      </c>
      <c r="E34" t="inlineStr">
        <is>
          <t>Douglas Fir</t>
        </is>
      </c>
      <c r="I34" s="22" t="inlineStr"/>
      <c r="J34" s="22" t="inlineStr">
        <is>
          <t>Dayspring</t>
        </is>
      </c>
      <c r="L34" s="22" t="inlineStr">
        <is>
          <t>Macon</t>
        </is>
      </c>
      <c r="P34" s="22" t="n"/>
      <c r="R34" s="4" t="n"/>
    </row>
    <row r="35">
      <c r="A35" t="inlineStr">
        <is>
          <t>RQ314SOSSP</t>
        </is>
      </c>
      <c r="B35" t="inlineStr">
        <is>
          <t xml:space="preserve">3/4 x 3-1/4 SEL/BTR WHITE OAK </t>
        </is>
      </c>
      <c r="C35" t="inlineStr">
        <is>
          <t>3/4"</t>
        </is>
      </c>
      <c r="D35" t="inlineStr">
        <is>
          <t>3-1/4"</t>
        </is>
      </c>
      <c r="E35" t="inlineStr">
        <is>
          <t>White Oak</t>
        </is>
      </c>
      <c r="F35" t="inlineStr">
        <is>
          <t>Select &amp; Better</t>
        </is>
      </c>
      <c r="I35" s="22" t="n">
        <v>4.65</v>
      </c>
      <c r="K35" s="22" t="n">
        <v>3.6</v>
      </c>
      <c r="L35" s="22" t="inlineStr">
        <is>
          <t>Macon</t>
        </is>
      </c>
      <c r="P35" s="22" t="n"/>
      <c r="R35" s="4" t="n"/>
    </row>
    <row r="36">
      <c r="A36" t="inlineStr">
        <is>
          <t>RQ314SRSSP</t>
        </is>
      </c>
      <c r="B36" t="inlineStr">
        <is>
          <t xml:space="preserve">3/4 x 3-1/4 SEL/BTR RED OAK   </t>
        </is>
      </c>
      <c r="C36" t="inlineStr">
        <is>
          <t>3/4"</t>
        </is>
      </c>
      <c r="D36" t="inlineStr">
        <is>
          <t>3-1/4"</t>
        </is>
      </c>
      <c r="E36" t="inlineStr">
        <is>
          <t>Red Oak</t>
        </is>
      </c>
      <c r="F36" t="inlineStr">
        <is>
          <t>Select &amp; Better</t>
        </is>
      </c>
      <c r="I36" s="22" t="n">
        <v>3.4</v>
      </c>
      <c r="K36" s="22" t="n">
        <v>2.45</v>
      </c>
      <c r="L36" s="22" t="inlineStr">
        <is>
          <t>Macon</t>
        </is>
      </c>
      <c r="P36" s="22" t="n"/>
      <c r="R36" s="4" t="n"/>
    </row>
    <row r="37">
      <c r="A37" t="inlineStr">
        <is>
          <t>RQ3SOB</t>
        </is>
      </c>
      <c r="B37" t="inlineStr">
        <is>
          <t xml:space="preserve">3/4 x 3 W/O BEVEL EDGE        </t>
        </is>
      </c>
      <c r="C37" t="inlineStr">
        <is>
          <t>3/4"</t>
        </is>
      </c>
      <c r="D37" t="inlineStr">
        <is>
          <t>3"</t>
        </is>
      </c>
      <c r="E37" t="inlineStr">
        <is>
          <t>White Oak</t>
        </is>
      </c>
      <c r="G37" t="inlineStr">
        <is>
          <t>Bevel</t>
        </is>
      </c>
      <c r="I37" s="22" t="n">
        <v>4.45</v>
      </c>
      <c r="L37" s="22" t="inlineStr">
        <is>
          <t>Macon</t>
        </is>
      </c>
      <c r="P37" s="22" t="n"/>
      <c r="R37" s="4" t="n"/>
    </row>
    <row r="38">
      <c r="A38" t="inlineStr">
        <is>
          <t>RQ3SOS</t>
        </is>
      </c>
      <c r="B38" t="inlineStr">
        <is>
          <t xml:space="preserve">3/4 x 3 W/O SEL SQUARE EDGE   </t>
        </is>
      </c>
      <c r="C38" t="inlineStr">
        <is>
          <t>3/4"</t>
        </is>
      </c>
      <c r="D38" t="inlineStr">
        <is>
          <t>3"</t>
        </is>
      </c>
      <c r="E38" t="inlineStr">
        <is>
          <t>White Oak</t>
        </is>
      </c>
      <c r="F38" t="inlineStr">
        <is>
          <t>Select</t>
        </is>
      </c>
      <c r="G38" t="inlineStr">
        <is>
          <t>Square</t>
        </is>
      </c>
      <c r="I38" s="22" t="n">
        <v>4.45</v>
      </c>
      <c r="L38" s="22" t="inlineStr">
        <is>
          <t>Macon</t>
        </is>
      </c>
      <c r="P38" s="22" t="n"/>
      <c r="R38" s="4" t="n"/>
    </row>
    <row r="39">
      <c r="A39" t="inlineStr">
        <is>
          <t>RQ3SRB</t>
        </is>
      </c>
      <c r="B39" t="inlineStr">
        <is>
          <t xml:space="preserve">3/4 x 3 R/O BEVEL EDGE        </t>
        </is>
      </c>
      <c r="C39" t="inlineStr">
        <is>
          <t>3/4"</t>
        </is>
      </c>
      <c r="D39" t="inlineStr">
        <is>
          <t>3"</t>
        </is>
      </c>
      <c r="E39" t="inlineStr">
        <is>
          <t>Red Oak</t>
        </is>
      </c>
      <c r="G39" t="inlineStr">
        <is>
          <t>Bevel</t>
        </is>
      </c>
      <c r="I39" s="22" t="n">
        <v>3.4</v>
      </c>
      <c r="L39" s="22" t="inlineStr">
        <is>
          <t>Macon</t>
        </is>
      </c>
      <c r="P39" s="22" t="n"/>
      <c r="R39" s="4" t="n"/>
    </row>
    <row r="40">
      <c r="A40" t="inlineStr">
        <is>
          <t>RQ3SRS</t>
        </is>
      </c>
      <c r="B40" t="inlineStr">
        <is>
          <t xml:space="preserve">3/4 x 3 R/O SQUARE EDGE       </t>
        </is>
      </c>
      <c r="C40" t="inlineStr">
        <is>
          <t>3/4"</t>
        </is>
      </c>
      <c r="D40" t="inlineStr">
        <is>
          <t>3"</t>
        </is>
      </c>
      <c r="E40" t="inlineStr">
        <is>
          <t>Red Oak</t>
        </is>
      </c>
      <c r="G40" t="inlineStr">
        <is>
          <t>Square</t>
        </is>
      </c>
      <c r="I40" s="22" t="n">
        <v>3.4</v>
      </c>
      <c r="L40" s="22" t="inlineStr">
        <is>
          <t>Macon</t>
        </is>
      </c>
      <c r="P40" s="22" t="n"/>
      <c r="R40" s="4" t="n"/>
    </row>
    <row r="41">
      <c r="A41" t="inlineStr">
        <is>
          <t>RQ4SOB</t>
        </is>
      </c>
      <c r="B41" t="inlineStr">
        <is>
          <t xml:space="preserve">3/4 x 4 W/O BEVEL EDGE        </t>
        </is>
      </c>
      <c r="C41" t="inlineStr">
        <is>
          <t>3/4"</t>
        </is>
      </c>
      <c r="D41" t="inlineStr">
        <is>
          <t>4"</t>
        </is>
      </c>
      <c r="E41" t="inlineStr">
        <is>
          <t>White Oak</t>
        </is>
      </c>
      <c r="G41" t="inlineStr">
        <is>
          <t>Bevel</t>
        </is>
      </c>
      <c r="I41" s="22" t="n">
        <v>4.7</v>
      </c>
      <c r="L41" s="22" t="inlineStr">
        <is>
          <t>Macon</t>
        </is>
      </c>
      <c r="P41" s="22" t="n"/>
      <c r="R41" s="4" t="n"/>
    </row>
    <row r="42">
      <c r="A42" t="inlineStr">
        <is>
          <t>RQ4SOS</t>
        </is>
      </c>
      <c r="B42" t="inlineStr">
        <is>
          <t xml:space="preserve">3/4 x 4 W/O SQUARE EDGE       </t>
        </is>
      </c>
      <c r="C42" t="inlineStr">
        <is>
          <t>3/4"</t>
        </is>
      </c>
      <c r="D42" t="inlineStr">
        <is>
          <t>4"</t>
        </is>
      </c>
      <c r="E42" t="inlineStr">
        <is>
          <t>White Oak</t>
        </is>
      </c>
      <c r="G42" t="inlineStr">
        <is>
          <t>Square</t>
        </is>
      </c>
      <c r="I42" s="22" t="n">
        <v>4.7</v>
      </c>
      <c r="K42" s="22" t="inlineStr"/>
      <c r="L42" s="22" t="inlineStr">
        <is>
          <t>Macon</t>
        </is>
      </c>
      <c r="P42" s="22" t="n"/>
      <c r="R42" s="4" t="n"/>
    </row>
    <row r="43">
      <c r="A43" t="inlineStr">
        <is>
          <t>RQ4SRB</t>
        </is>
      </c>
      <c r="B43" t="inlineStr">
        <is>
          <t xml:space="preserve">3/4 x 4 R/O BEVEL EDGE        </t>
        </is>
      </c>
      <c r="C43" t="inlineStr">
        <is>
          <t>3/4"</t>
        </is>
      </c>
      <c r="D43" t="inlineStr">
        <is>
          <t>4"</t>
        </is>
      </c>
      <c r="E43" t="inlineStr">
        <is>
          <t>Red Oak</t>
        </is>
      </c>
      <c r="G43" t="inlineStr">
        <is>
          <t>Bevel</t>
        </is>
      </c>
      <c r="I43" s="22" t="n">
        <v>3.45</v>
      </c>
      <c r="L43" s="22" t="inlineStr">
        <is>
          <t>Macon</t>
        </is>
      </c>
      <c r="P43" s="22" t="n"/>
      <c r="R43" s="4" t="n"/>
    </row>
    <row r="44">
      <c r="A44" t="inlineStr">
        <is>
          <t>RQ4SRS</t>
        </is>
      </c>
      <c r="B44" t="inlineStr">
        <is>
          <t xml:space="preserve">3/4 x 4 R/O SQUARE EDGE       </t>
        </is>
      </c>
      <c r="C44" t="inlineStr">
        <is>
          <t>3/4"</t>
        </is>
      </c>
      <c r="D44" t="inlineStr">
        <is>
          <t>4"</t>
        </is>
      </c>
      <c r="E44" t="inlineStr">
        <is>
          <t>Red Oak</t>
        </is>
      </c>
      <c r="G44" t="inlineStr">
        <is>
          <t>Square</t>
        </is>
      </c>
      <c r="I44" s="22" t="n">
        <v>3.45</v>
      </c>
      <c r="L44" s="22" t="inlineStr">
        <is>
          <t>Macon</t>
        </is>
      </c>
      <c r="P44" s="22" t="n"/>
      <c r="R44" s="4" t="n"/>
    </row>
    <row r="45">
      <c r="A45" t="inlineStr">
        <is>
          <t>RQ5FMS</t>
        </is>
      </c>
      <c r="B45" t="inlineStr">
        <is>
          <t xml:space="preserve">3/4 X 5 1ST MAPLE SE RL EM    </t>
        </is>
      </c>
      <c r="C45" t="inlineStr">
        <is>
          <t>3/4"</t>
        </is>
      </c>
      <c r="D45" t="inlineStr">
        <is>
          <t>5"</t>
        </is>
      </c>
      <c r="E45" t="inlineStr">
        <is>
          <t>Maple</t>
        </is>
      </c>
      <c r="F45" t="inlineStr">
        <is>
          <t>1st</t>
        </is>
      </c>
      <c r="G45" t="inlineStr">
        <is>
          <t>Square</t>
        </is>
      </c>
      <c r="I45" s="22" t="n">
        <v>4.45</v>
      </c>
      <c r="J45" s="22" t="inlineStr">
        <is>
          <t>Dayspring</t>
        </is>
      </c>
      <c r="K45" s="22" t="inlineStr"/>
      <c r="L45" s="22" t="inlineStr">
        <is>
          <t>Macon</t>
        </is>
      </c>
      <c r="M45" s="22" t="inlineStr">
        <is>
          <t>Anthony</t>
        </is>
      </c>
      <c r="P45" s="22" t="n"/>
      <c r="R45" s="4" t="n"/>
    </row>
    <row r="46">
      <c r="A46" t="inlineStr">
        <is>
          <t>RQ5SOB</t>
        </is>
      </c>
      <c r="B46" t="inlineStr">
        <is>
          <t xml:space="preserve">3/4 x 5 W/O BEVEL EDGE        </t>
        </is>
      </c>
      <c r="C46" t="inlineStr">
        <is>
          <t>3/4"</t>
        </is>
      </c>
      <c r="D46" t="inlineStr">
        <is>
          <t>5"</t>
        </is>
      </c>
      <c r="E46" t="inlineStr">
        <is>
          <t>White Oak</t>
        </is>
      </c>
      <c r="G46" t="inlineStr">
        <is>
          <t>Bevel</t>
        </is>
      </c>
      <c r="I46" s="22" t="n">
        <v>4.75</v>
      </c>
      <c r="K46" s="22" t="inlineStr"/>
      <c r="L46" s="22" t="inlineStr">
        <is>
          <t>Macon</t>
        </is>
      </c>
      <c r="P46" s="22" t="n"/>
      <c r="R46" s="4" t="n"/>
    </row>
    <row r="47">
      <c r="A47" t="inlineStr">
        <is>
          <t>RQ5SOS</t>
        </is>
      </c>
      <c r="B47" t="inlineStr">
        <is>
          <t xml:space="preserve">3/4 x 5 W/O SEL SQUARE EDGE   </t>
        </is>
      </c>
      <c r="C47" t="inlineStr">
        <is>
          <t>3/4"</t>
        </is>
      </c>
      <c r="D47" t="inlineStr">
        <is>
          <t>5"</t>
        </is>
      </c>
      <c r="E47" t="inlineStr">
        <is>
          <t>White Oak</t>
        </is>
      </c>
      <c r="F47" t="inlineStr">
        <is>
          <t>Select</t>
        </is>
      </c>
      <c r="G47" t="inlineStr">
        <is>
          <t>Square</t>
        </is>
      </c>
      <c r="I47" s="22" t="n">
        <v>4.75</v>
      </c>
      <c r="K47" s="22" t="inlineStr"/>
      <c r="L47" s="22" t="inlineStr">
        <is>
          <t>Macon</t>
        </is>
      </c>
      <c r="P47" s="22" t="n"/>
      <c r="R47" s="4" t="n"/>
    </row>
    <row r="48">
      <c r="A48" t="inlineStr">
        <is>
          <t>RQ5SOSD</t>
        </is>
      </c>
      <c r="B48" t="inlineStr">
        <is>
          <t xml:space="preserve">3/4 x 5 W/O SEL SQUARE EDGE   </t>
        </is>
      </c>
      <c r="C48" t="inlineStr">
        <is>
          <t>3/4"</t>
        </is>
      </c>
      <c r="D48" t="inlineStr">
        <is>
          <t>5"</t>
        </is>
      </c>
      <c r="E48" t="inlineStr">
        <is>
          <t>White Oak</t>
        </is>
      </c>
      <c r="F48" t="inlineStr">
        <is>
          <t>Select</t>
        </is>
      </c>
      <c r="G48" t="inlineStr">
        <is>
          <t>Square</t>
        </is>
      </c>
      <c r="I48" s="22" t="n">
        <v>4.75</v>
      </c>
      <c r="J48" s="22" t="inlineStr">
        <is>
          <t>Dayspring</t>
        </is>
      </c>
      <c r="K48" s="22" t="inlineStr"/>
      <c r="L48" s="22" t="inlineStr">
        <is>
          <t>Macon</t>
        </is>
      </c>
      <c r="M48" s="22" t="inlineStr">
        <is>
          <t>Anthony</t>
        </is>
      </c>
      <c r="P48" s="22" t="n"/>
      <c r="R48" s="4" t="n"/>
    </row>
    <row r="49">
      <c r="A49" t="inlineStr">
        <is>
          <t>RQ5SRB</t>
        </is>
      </c>
      <c r="B49" t="inlineStr">
        <is>
          <t xml:space="preserve">3/4 x 5 R/O BEVEL EDGE        </t>
        </is>
      </c>
      <c r="C49" t="inlineStr">
        <is>
          <t>3/4"</t>
        </is>
      </c>
      <c r="D49" t="inlineStr">
        <is>
          <t>5"</t>
        </is>
      </c>
      <c r="E49" t="inlineStr">
        <is>
          <t>Red Oak</t>
        </is>
      </c>
      <c r="G49" t="inlineStr">
        <is>
          <t>Bevel</t>
        </is>
      </c>
      <c r="I49" s="22" t="n">
        <v>3.45</v>
      </c>
      <c r="L49" s="22" t="inlineStr">
        <is>
          <t>Macon</t>
        </is>
      </c>
      <c r="P49" s="22" t="n"/>
      <c r="R49" s="4" t="n"/>
    </row>
    <row r="50">
      <c r="A50" t="inlineStr">
        <is>
          <t>RQ5SRS</t>
        </is>
      </c>
      <c r="B50" t="inlineStr">
        <is>
          <t xml:space="preserve">3/4 x 5 R/O SQUARE EDGE       </t>
        </is>
      </c>
      <c r="C50" t="inlineStr">
        <is>
          <t>3/4"</t>
        </is>
      </c>
      <c r="D50" t="inlineStr">
        <is>
          <t>5"</t>
        </is>
      </c>
      <c r="E50" t="inlineStr">
        <is>
          <t>Red Oak</t>
        </is>
      </c>
      <c r="G50" t="inlineStr">
        <is>
          <t>Square</t>
        </is>
      </c>
      <c r="I50" s="22" t="n">
        <v>3.45</v>
      </c>
      <c r="K50" s="22" t="inlineStr"/>
      <c r="L50" s="22" t="inlineStr">
        <is>
          <t>Macon</t>
        </is>
      </c>
      <c r="P50" s="22" t="n"/>
      <c r="R50" s="4" t="n"/>
    </row>
    <row r="51">
      <c r="A51" t="inlineStr">
        <is>
          <t>RQ5SRSI</t>
        </is>
      </c>
      <c r="B51" t="inlineStr">
        <is>
          <t xml:space="preserve">3/4 x 5 R/O SQUARE EDGE       </t>
        </is>
      </c>
      <c r="C51" t="inlineStr">
        <is>
          <t>3/4"</t>
        </is>
      </c>
      <c r="D51" t="inlineStr">
        <is>
          <t>5"</t>
        </is>
      </c>
      <c r="E51" t="inlineStr">
        <is>
          <t>Red Oak</t>
        </is>
      </c>
      <c r="G51" t="inlineStr">
        <is>
          <t>Square</t>
        </is>
      </c>
      <c r="I51" s="22" t="n">
        <v>3.45</v>
      </c>
      <c r="L51" s="22" t="inlineStr">
        <is>
          <t>Macon</t>
        </is>
      </c>
      <c r="P51" s="22" t="n"/>
      <c r="R51" s="4" t="n"/>
    </row>
    <row r="52">
      <c r="A52" t="inlineStr">
        <is>
          <t>RQ5SWS</t>
        </is>
      </c>
      <c r="B52" t="inlineStr">
        <is>
          <t>3/4 X 5 SEL/BTR WALNUT S.E. RL</t>
        </is>
      </c>
      <c r="C52" t="inlineStr">
        <is>
          <t>3/4"</t>
        </is>
      </c>
      <c r="D52" t="inlineStr">
        <is>
          <t>5"</t>
        </is>
      </c>
      <c r="E52" t="inlineStr">
        <is>
          <t>Walnut</t>
        </is>
      </c>
      <c r="F52" t="inlineStr">
        <is>
          <t>Select &amp; Better</t>
        </is>
      </c>
      <c r="G52" t="inlineStr">
        <is>
          <t>Square</t>
        </is>
      </c>
      <c r="I52" s="22" t="n">
        <v>7.65</v>
      </c>
      <c r="K52" s="22" t="inlineStr"/>
      <c r="L52" s="22" t="inlineStr">
        <is>
          <t>Macon</t>
        </is>
      </c>
      <c r="P52" s="22" t="n"/>
      <c r="R52" s="4" t="n"/>
    </row>
    <row r="53">
      <c r="A53" t="inlineStr">
        <is>
          <t>RQ5SWS</t>
        </is>
      </c>
      <c r="B53" t="inlineStr">
        <is>
          <t>3/4 X 5 SEL/BTR WALNUT S.E. RL</t>
        </is>
      </c>
      <c r="C53" t="inlineStr">
        <is>
          <t>3/4"</t>
        </is>
      </c>
      <c r="D53" t="inlineStr">
        <is>
          <t>5"</t>
        </is>
      </c>
      <c r="E53" t="inlineStr">
        <is>
          <t>Walnut</t>
        </is>
      </c>
      <c r="F53" t="inlineStr">
        <is>
          <t>Select &amp; Better</t>
        </is>
      </c>
      <c r="G53" t="inlineStr">
        <is>
          <t>Square</t>
        </is>
      </c>
      <c r="I53" s="22" t="n">
        <v>7.65</v>
      </c>
      <c r="J53" s="22" t="inlineStr">
        <is>
          <t>Dayspring</t>
        </is>
      </c>
      <c r="L53" s="22" t="inlineStr">
        <is>
          <t>Macon</t>
        </is>
      </c>
      <c r="M53" s="22" t="inlineStr">
        <is>
          <t>Anthony</t>
        </is>
      </c>
      <c r="P53" s="22" t="n"/>
      <c r="R53" s="4" t="n"/>
    </row>
    <row r="54">
      <c r="A54" t="inlineStr">
        <is>
          <t>RQ6SOB</t>
        </is>
      </c>
      <c r="B54" t="inlineStr">
        <is>
          <t xml:space="preserve">3/4 x 6 W/O BEVEL EDGE        </t>
        </is>
      </c>
      <c r="C54" t="inlineStr">
        <is>
          <t>3/4"</t>
        </is>
      </c>
      <c r="D54" t="inlineStr">
        <is>
          <t>6"</t>
        </is>
      </c>
      <c r="E54" t="inlineStr">
        <is>
          <t>White Oak</t>
        </is>
      </c>
      <c r="G54" t="inlineStr">
        <is>
          <t>Bevel</t>
        </is>
      </c>
      <c r="I54" s="22" t="n">
        <v>4.75</v>
      </c>
      <c r="K54" s="22" t="inlineStr"/>
      <c r="L54" s="22" t="inlineStr">
        <is>
          <t>Macon</t>
        </is>
      </c>
      <c r="P54" s="22" t="n"/>
      <c r="R54" s="4" t="n"/>
    </row>
    <row r="55">
      <c r="A55" t="inlineStr">
        <is>
          <t>RQ6SOS</t>
        </is>
      </c>
      <c r="B55" t="inlineStr">
        <is>
          <t xml:space="preserve">3/4 x 6 W/O SQUARE EDGE       </t>
        </is>
      </c>
      <c r="C55" t="inlineStr">
        <is>
          <t>3/4"</t>
        </is>
      </c>
      <c r="D55" t="inlineStr">
        <is>
          <t>6"</t>
        </is>
      </c>
      <c r="E55" t="inlineStr">
        <is>
          <t>White Oak</t>
        </is>
      </c>
      <c r="G55" t="inlineStr">
        <is>
          <t>Square</t>
        </is>
      </c>
      <c r="I55" s="22" t="n">
        <v>4.75</v>
      </c>
      <c r="K55" s="22" t="inlineStr"/>
      <c r="L55" s="22" t="inlineStr">
        <is>
          <t>Macon</t>
        </is>
      </c>
      <c r="P55" s="22" t="n"/>
      <c r="R55" s="4" t="n"/>
    </row>
    <row r="56">
      <c r="A56" t="inlineStr">
        <is>
          <t>RQ6SRB</t>
        </is>
      </c>
      <c r="B56" t="inlineStr">
        <is>
          <t xml:space="preserve">3/4 x 6 R/O BEVEL EDGE        </t>
        </is>
      </c>
      <c r="C56" t="inlineStr">
        <is>
          <t>3/4"</t>
        </is>
      </c>
      <c r="D56" t="inlineStr">
        <is>
          <t>6"</t>
        </is>
      </c>
      <c r="E56" t="inlineStr">
        <is>
          <t>Red Oak</t>
        </is>
      </c>
      <c r="G56" t="inlineStr">
        <is>
          <t>Bevel</t>
        </is>
      </c>
      <c r="I56" s="22" t="n">
        <v>3.5</v>
      </c>
      <c r="L56" s="22" t="inlineStr">
        <is>
          <t>Macon</t>
        </is>
      </c>
      <c r="P56" s="22" t="n"/>
      <c r="R56" s="4" t="n"/>
    </row>
    <row r="57">
      <c r="A57" t="inlineStr">
        <is>
          <t>RQ6SRS</t>
        </is>
      </c>
      <c r="B57" t="inlineStr">
        <is>
          <t xml:space="preserve">3/4 x 6 R/O SQUARE EDGE       </t>
        </is>
      </c>
      <c r="C57" t="inlineStr">
        <is>
          <t>3/4"</t>
        </is>
      </c>
      <c r="D57" t="inlineStr">
        <is>
          <t>6"</t>
        </is>
      </c>
      <c r="E57" t="inlineStr">
        <is>
          <t>Red Oak</t>
        </is>
      </c>
      <c r="G57" t="inlineStr">
        <is>
          <t>Square</t>
        </is>
      </c>
      <c r="I57" s="22" t="n">
        <v>3.5</v>
      </c>
      <c r="L57" s="22" t="inlineStr">
        <is>
          <t>Macon</t>
        </is>
      </c>
      <c r="P57" s="22" t="n"/>
      <c r="R57" s="4" t="n"/>
    </row>
    <row r="58">
      <c r="A58" t="inlineStr">
        <is>
          <t>RQ7SOB</t>
        </is>
      </c>
      <c r="B58" t="inlineStr">
        <is>
          <t xml:space="preserve">3/4 x 7 W/O BEVEL EDGE        </t>
        </is>
      </c>
      <c r="C58" t="inlineStr">
        <is>
          <t>3/4"</t>
        </is>
      </c>
      <c r="D58" t="inlineStr">
        <is>
          <t>7"</t>
        </is>
      </c>
      <c r="E58" t="inlineStr">
        <is>
          <t>White Oak</t>
        </is>
      </c>
      <c r="G58" t="inlineStr">
        <is>
          <t>Bevel</t>
        </is>
      </c>
      <c r="I58" s="22" t="n">
        <v>4.85</v>
      </c>
      <c r="K58" s="22" t="inlineStr"/>
      <c r="L58" s="22" t="inlineStr">
        <is>
          <t>Macon</t>
        </is>
      </c>
      <c r="P58" s="22" t="n"/>
      <c r="R58" s="4" t="n"/>
    </row>
    <row r="59">
      <c r="A59" t="inlineStr">
        <is>
          <t>RQ7SOS</t>
        </is>
      </c>
      <c r="B59" t="inlineStr">
        <is>
          <t xml:space="preserve">3/4 x 7 W/O SQUARE EDGE       </t>
        </is>
      </c>
      <c r="C59" t="inlineStr">
        <is>
          <t>3/4"</t>
        </is>
      </c>
      <c r="D59" t="inlineStr">
        <is>
          <t>7"</t>
        </is>
      </c>
      <c r="E59" t="inlineStr">
        <is>
          <t>White Oak</t>
        </is>
      </c>
      <c r="G59" t="inlineStr">
        <is>
          <t>Square</t>
        </is>
      </c>
      <c r="I59" s="22" t="n">
        <v>4.85</v>
      </c>
      <c r="K59" s="22" t="inlineStr"/>
      <c r="L59" s="22" t="inlineStr">
        <is>
          <t>Macon</t>
        </is>
      </c>
      <c r="P59" s="22" t="n"/>
      <c r="R59" s="4" t="n"/>
    </row>
    <row r="60">
      <c r="A60" t="inlineStr">
        <is>
          <t>RQ7SRB</t>
        </is>
      </c>
      <c r="B60" t="inlineStr">
        <is>
          <t xml:space="preserve">3/4 x 7 R/O BEVEL EDGE        </t>
        </is>
      </c>
      <c r="C60" t="inlineStr">
        <is>
          <t>3/4"</t>
        </is>
      </c>
      <c r="D60" t="inlineStr">
        <is>
          <t>7"</t>
        </is>
      </c>
      <c r="E60" t="inlineStr">
        <is>
          <t>Red Oak</t>
        </is>
      </c>
      <c r="G60" t="inlineStr">
        <is>
          <t>Bevel</t>
        </is>
      </c>
      <c r="I60" s="22" t="n">
        <v>3.6</v>
      </c>
      <c r="L60" s="22" t="inlineStr">
        <is>
          <t>Macon</t>
        </is>
      </c>
      <c r="P60" s="22" t="n"/>
      <c r="R60" s="4" t="n"/>
    </row>
    <row r="61">
      <c r="A61" t="inlineStr">
        <is>
          <t>RQ7SRS</t>
        </is>
      </c>
      <c r="B61" t="inlineStr">
        <is>
          <t xml:space="preserve">3/4 X 7 R/O SQUARE EDGE       </t>
        </is>
      </c>
      <c r="C61" t="inlineStr">
        <is>
          <t>3/4"</t>
        </is>
      </c>
      <c r="D61" t="inlineStr">
        <is>
          <t>7"</t>
        </is>
      </c>
      <c r="E61" t="inlineStr">
        <is>
          <t>Red Oak</t>
        </is>
      </c>
      <c r="G61" t="inlineStr">
        <is>
          <t>Square</t>
        </is>
      </c>
      <c r="I61" s="22" t="n">
        <v>3.6</v>
      </c>
      <c r="L61" s="22" t="inlineStr">
        <is>
          <t>Macon</t>
        </is>
      </c>
      <c r="P61" s="22" t="n"/>
      <c r="R61" s="4" t="n"/>
    </row>
    <row r="62">
      <c r="A62" t="inlineStr">
        <is>
          <t>RT112SOS</t>
        </is>
      </c>
      <c r="B62" t="inlineStr">
        <is>
          <t xml:space="preserve">3/8 x 1-1/2" SELECT W/O BF    </t>
        </is>
      </c>
      <c r="C62" t="inlineStr">
        <is>
          <t>3/8"</t>
        </is>
      </c>
      <c r="D62" t="inlineStr">
        <is>
          <t>1-1/2"</t>
        </is>
      </c>
      <c r="E62" t="inlineStr">
        <is>
          <t>White Oak</t>
        </is>
      </c>
      <c r="F62" t="inlineStr">
        <is>
          <t>Select</t>
        </is>
      </c>
      <c r="I62" s="22" t="inlineStr"/>
      <c r="J62" s="22" t="inlineStr">
        <is>
          <t>Dayspring</t>
        </is>
      </c>
      <c r="L62" s="22" t="inlineStr">
        <is>
          <t>Macon</t>
        </is>
      </c>
      <c r="P62" s="22" t="n"/>
      <c r="R62" s="4" t="n"/>
    </row>
    <row r="63">
      <c r="A63" t="inlineStr">
        <is>
          <t>RT112SRS</t>
        </is>
      </c>
      <c r="B63" t="inlineStr">
        <is>
          <t xml:space="preserve">3/8 x 1-1/2" SELECT R/O BF    </t>
        </is>
      </c>
      <c r="C63" t="inlineStr">
        <is>
          <t>3/8"</t>
        </is>
      </c>
      <c r="D63" t="inlineStr">
        <is>
          <t>1-1/2"</t>
        </is>
      </c>
      <c r="E63" t="inlineStr">
        <is>
          <t>Red Oak</t>
        </is>
      </c>
      <c r="F63" t="inlineStr">
        <is>
          <t>Select</t>
        </is>
      </c>
      <c r="I63" s="22" t="inlineStr"/>
      <c r="K63" s="22" t="inlineStr"/>
      <c r="L63" s="22" t="inlineStr">
        <is>
          <t>Macon</t>
        </is>
      </c>
      <c r="P63" s="22" t="n"/>
      <c r="R63" s="4" t="n"/>
    </row>
    <row r="64">
      <c r="A64" t="inlineStr">
        <is>
          <t>RT2SOSNB-24</t>
        </is>
      </c>
      <c r="B64" t="inlineStr">
        <is>
          <t>3/8 x 2" SEL W/O NESTED (24-SF</t>
        </is>
      </c>
      <c r="C64" t="inlineStr">
        <is>
          <t>3/8"</t>
        </is>
      </c>
      <c r="D64" t="inlineStr">
        <is>
          <t>2"</t>
        </is>
      </c>
      <c r="E64" t="inlineStr">
        <is>
          <t>White Oak</t>
        </is>
      </c>
      <c r="F64" t="inlineStr">
        <is>
          <t>Select</t>
        </is>
      </c>
      <c r="H64" t="inlineStr">
        <is>
          <t>Nested</t>
        </is>
      </c>
      <c r="I64" s="22" t="inlineStr"/>
      <c r="J64" s="22" t="inlineStr">
        <is>
          <t>Dayspring</t>
        </is>
      </c>
      <c r="L64" s="22" t="inlineStr">
        <is>
          <t>Macon</t>
        </is>
      </c>
      <c r="P64" s="22" t="n"/>
      <c r="R64" s="4" t="n"/>
    </row>
    <row r="65">
      <c r="A65" t="inlineStr">
        <is>
          <t>RT2SRSNB-24</t>
        </is>
      </c>
      <c r="B65" t="inlineStr">
        <is>
          <t>3/8 x 2" SEL R/O NESTED (24-SF</t>
        </is>
      </c>
      <c r="C65" t="inlineStr">
        <is>
          <t>3/8"</t>
        </is>
      </c>
      <c r="D65" t="inlineStr">
        <is>
          <t>2"</t>
        </is>
      </c>
      <c r="E65" t="inlineStr">
        <is>
          <t>Red Oak</t>
        </is>
      </c>
      <c r="F65" t="inlineStr">
        <is>
          <t>Select</t>
        </is>
      </c>
      <c r="H65" t="inlineStr">
        <is>
          <t>Nested</t>
        </is>
      </c>
      <c r="I65" s="22" t="inlineStr"/>
      <c r="J65" s="22" t="inlineStr">
        <is>
          <t>Dayspring</t>
        </is>
      </c>
      <c r="L65" s="22" t="inlineStr">
        <is>
          <t>Macon</t>
        </is>
      </c>
      <c r="P65" s="22" t="n"/>
      <c r="R65" s="4" t="n"/>
    </row>
    <row r="66">
      <c r="A66" t="inlineStr">
        <is>
          <t>RQ5SWB</t>
        </is>
      </c>
      <c r="B66" t="inlineStr">
        <is>
          <t>3/4 X 5 SEL/BTR WALNUT S.E. RL</t>
        </is>
      </c>
      <c r="C66" t="inlineStr">
        <is>
          <t>3/4"</t>
        </is>
      </c>
      <c r="D66" t="inlineStr">
        <is>
          <t>5"</t>
        </is>
      </c>
      <c r="E66" t="inlineStr">
        <is>
          <t>Walnut</t>
        </is>
      </c>
      <c r="F66" t="inlineStr">
        <is>
          <t>Select &amp; Better</t>
        </is>
      </c>
      <c r="G66" t="inlineStr">
        <is>
          <t>Square</t>
        </is>
      </c>
      <c r="I66" t="n">
        <v>7.65</v>
      </c>
      <c r="K66" t="inlineStr"/>
      <c r="L66" t="inlineStr">
        <is>
          <t>Macon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C7" sqref="C7"/>
    </sheetView>
  </sheetViews>
  <sheetFormatPr baseColWidth="8" defaultRowHeight="15"/>
  <cols>
    <col width="30.7109375" customWidth="1" min="1" max="1"/>
    <col width="22.42578125" bestFit="1" customWidth="1" min="2" max="2"/>
    <col width="69.5703125" bestFit="1" customWidth="1" min="3" max="3"/>
    <col width="41.7109375" bestFit="1" customWidth="1" min="4" max="4"/>
    <col width="190.7109375" bestFit="1" customWidth="1" min="5" max="5"/>
    <col width="22.42578125" bestFit="1" customWidth="1" min="6" max="6"/>
    <col width="139.140625" bestFit="1" customWidth="1" min="7" max="7"/>
    <col width="31.140625" bestFit="1" customWidth="1" min="8" max="8"/>
  </cols>
  <sheetData>
    <row r="1">
      <c r="A1" s="5" t="inlineStr">
        <is>
          <t>Vendor Name</t>
        </is>
      </c>
      <c r="B1" s="5" t="n"/>
      <c r="C1" s="5" t="inlineStr">
        <is>
          <t>CONTACT EMAIL</t>
        </is>
      </c>
      <c r="D1" s="5" t="inlineStr">
        <is>
          <t>CONTACT PHONE</t>
        </is>
      </c>
      <c r="E1" s="5" t="inlineStr">
        <is>
          <t>WHAT THEY OFFER</t>
        </is>
      </c>
      <c r="F1" s="5" t="inlineStr">
        <is>
          <t>AVG LEAD TIME</t>
        </is>
      </c>
      <c r="G1" s="5" t="inlineStr">
        <is>
          <t>SHIPPING/FEES</t>
        </is>
      </c>
      <c r="H1" s="5" t="inlineStr">
        <is>
          <t>ADD.NOTES</t>
        </is>
      </c>
    </row>
    <row r="2">
      <c r="A2" s="6" t="inlineStr">
        <is>
          <t>AEROSMITH</t>
        </is>
      </c>
      <c r="B2" s="6" t="inlineStr">
        <is>
          <t>ELKE</t>
        </is>
      </c>
      <c r="C2" s="6" t="inlineStr">
        <is>
          <t>ENICHOLSON@AEROSMITHFASTENING.COM</t>
        </is>
      </c>
      <c r="D2" s="6" t="n"/>
      <c r="E2" s="6" t="n"/>
      <c r="F2" s="6" t="n"/>
      <c r="G2" s="6" t="n"/>
      <c r="H2" s="6" t="n"/>
    </row>
    <row r="3">
      <c r="A3" s="6" t="inlineStr">
        <is>
          <t>ZHEJIANG YUHUA TIMBER</t>
        </is>
      </c>
      <c r="B3" s="6" t="inlineStr">
        <is>
          <t>ALICE</t>
        </is>
      </c>
      <c r="C3" s="6" t="inlineStr">
        <is>
          <t>黄灵 &lt;aliceh3520@163.com&gt;</t>
        </is>
      </c>
      <c r="D3" s="6" t="n"/>
      <c r="E3" s="6" t="inlineStr">
        <is>
          <t xml:space="preserve">OMP EXOTICS COLLECTION, AND DROPPED ZODIAC**10 coats of finish on all colors** </t>
        </is>
      </c>
      <c r="F3" s="6" t="n"/>
      <c r="G3" s="6" t="n"/>
      <c r="H3" s="6" t="n"/>
    </row>
    <row r="4">
      <c r="A4" s="6" t="inlineStr">
        <is>
          <t>APPALACHIAN</t>
        </is>
      </c>
      <c r="B4" s="6" t="n"/>
      <c r="C4" s="6" t="inlineStr">
        <is>
          <t>SALES@APPALACHIANLUMBER.NET orders: order@appalachianflooring.com</t>
        </is>
      </c>
      <c r="D4" s="6" t="n"/>
      <c r="E4" s="6" t="n"/>
      <c r="F4" s="6" t="n"/>
      <c r="G4" s="6" t="n"/>
      <c r="H4" s="6" t="n"/>
    </row>
    <row r="5">
      <c r="A5" s="6" t="inlineStr">
        <is>
          <t>FRENCH-BROWN FLOORS</t>
        </is>
      </c>
      <c r="B5" s="6" t="inlineStr">
        <is>
          <t xml:space="preserve">KYLE </t>
        </is>
      </c>
      <c r="C5" s="6" t="inlineStr">
        <is>
          <t>kyle@french-brown.com</t>
        </is>
      </c>
      <c r="D5" s="6" t="n">
        <v>8323681614</v>
      </c>
      <c r="E5" s="6" t="inlineStr">
        <is>
          <t>UNFINISHED CUSTOM PATTERNS AND PLANKS, PARQUET, PATTERNS, LONG LENGTH , WIDE PLANKS, NO 5/16" PARQUET, DALLAS TX</t>
        </is>
      </c>
      <c r="F5" s="6" t="n"/>
      <c r="G5" s="6" t="n"/>
      <c r="H5" s="6" t="n"/>
    </row>
    <row r="6">
      <c r="A6" s="6" t="inlineStr">
        <is>
          <t>CENO</t>
        </is>
      </c>
      <c r="B6" s="6" t="inlineStr">
        <is>
          <t>SAMANTHA</t>
        </is>
      </c>
      <c r="C6" s="6" t="inlineStr">
        <is>
          <t>SALES@FLOORSANDING.COM</t>
        </is>
      </c>
      <c r="D6" s="6" t="n"/>
      <c r="E6" s="6" t="n"/>
      <c r="F6" s="6" t="n"/>
      <c r="G6" s="6" t="n"/>
      <c r="H6" s="6" t="n"/>
    </row>
    <row r="7">
      <c r="A7" s="6" t="inlineStr">
        <is>
          <t>CONEJO</t>
        </is>
      </c>
      <c r="B7" s="6" t="inlineStr">
        <is>
          <t>COREY</t>
        </is>
      </c>
      <c r="C7" s="6" t="inlineStr">
        <is>
          <t>COREY@CONEJOHARDWOODS.COM</t>
        </is>
      </c>
      <c r="D7" s="6" t="n"/>
      <c r="E7" s="6" t="n"/>
      <c r="F7" s="6" t="n"/>
      <c r="G7" s="6" t="n"/>
      <c r="H7" s="6" t="n"/>
    </row>
    <row r="8">
      <c r="A8" s="6" t="inlineStr">
        <is>
          <t>COUNTRYWOOD</t>
        </is>
      </c>
      <c r="B8" s="6" t="inlineStr">
        <is>
          <t>SHAN</t>
        </is>
      </c>
      <c r="C8" s="6" t="inlineStr">
        <is>
          <t>shan@countrywoodfloor.net OR info@countrywoodfloor.com</t>
        </is>
      </c>
      <c r="D8" s="6" t="n"/>
      <c r="E8" s="6" t="inlineStr">
        <is>
          <t>PREF SOLID, NO BRAZILIAN CHERRY , NO MAPLE IN STOCK**msut call for pricing**</t>
        </is>
      </c>
      <c r="F8" s="6" t="inlineStr">
        <is>
          <t>1 WEEK</t>
        </is>
      </c>
      <c r="G8" s="6" t="inlineStr">
        <is>
          <t>WE PICK UP</t>
        </is>
      </c>
      <c r="H8" s="6" t="inlineStr">
        <is>
          <t xml:space="preserve">WE ARE NOW COD </t>
        </is>
      </c>
    </row>
    <row r="9">
      <c r="A9" s="6" t="inlineStr">
        <is>
          <t>DAYSPRING</t>
        </is>
      </c>
      <c r="B9" s="6" t="inlineStr">
        <is>
          <t>MIKE</t>
        </is>
      </c>
      <c r="C9" s="6" t="inlineStr">
        <is>
          <t>MIKE@DAYSPRINGINC.COM</t>
        </is>
      </c>
      <c r="D9" s="6" t="n"/>
      <c r="E9" s="6" t="inlineStr">
        <is>
          <t>1/2", 3/4", 5/16" SOLID UNF, NO MAPLE, NO ENGINEERED, NO CUMARU, NO SANTOS MAHOGANY, NO BRAZ.CHERRY, NO ASH</t>
        </is>
      </c>
      <c r="F9" s="6" t="n"/>
      <c r="G9" s="6" t="inlineStr">
        <is>
          <t>no</t>
        </is>
      </c>
      <c r="H9" s="6" t="n"/>
    </row>
    <row r="10">
      <c r="A10" s="6" t="inlineStr">
        <is>
          <t>DECKINDEALS</t>
        </is>
      </c>
      <c r="B10" s="6" t="inlineStr">
        <is>
          <t>SCOTT</t>
        </is>
      </c>
      <c r="C10" s="6" t="inlineStr">
        <is>
          <t>HARDWOODDECKINGDEALS@YAHOO.COM</t>
        </is>
      </c>
      <c r="D10" s="6" t="n"/>
      <c r="E10" s="6" t="n"/>
      <c r="F10" s="6" t="n"/>
      <c r="G10" s="6" t="n"/>
      <c r="H10" s="6" t="n"/>
    </row>
    <row r="11">
      <c r="A11" s="6" t="inlineStr">
        <is>
          <t>ELEMENTAL/NOVA</t>
        </is>
      </c>
      <c r="B11" s="6" t="inlineStr">
        <is>
          <t>JOHN</t>
        </is>
      </c>
      <c r="C11" s="6" t="inlineStr">
        <is>
          <t>JOHN@EHWOODS.COM</t>
        </is>
      </c>
      <c r="D11" s="6" t="n"/>
      <c r="E11" s="6" t="inlineStr">
        <is>
          <t>ALWAYS CC JOYCE@EHWOODS.COM all unfinished flooring is square-edge and all prefinished has a micro-bevel.Only unopened items may be returned with a 30% restock fee and we are responsible for freight</t>
        </is>
      </c>
      <c r="F11" s="6" t="n"/>
      <c r="G11" s="6" t="n"/>
      <c r="H11" s="6" t="n"/>
    </row>
    <row r="12">
      <c r="A12" s="6" t="inlineStr">
        <is>
          <t>GLC</t>
        </is>
      </c>
      <c r="B12" s="6" t="inlineStr">
        <is>
          <t>Garrison</t>
        </is>
      </c>
      <c r="C12" s="6" t="inlineStr">
        <is>
          <t>GARRISON@GLCMILLWORKS.COM</t>
        </is>
      </c>
      <c r="D12" s="6" t="n"/>
      <c r="E12" s="6" t="inlineStr">
        <is>
          <t xml:space="preserve">NO PREF OR PARQUET, ONLY UNF, NO ROTARY PEEL, THINNEST ENGINEERED (1/2") NO UNIT BLOCK, max tread width to bullnose is about 13" otherwise it will be squared. </t>
        </is>
      </c>
      <c r="F12" s="6" t="inlineStr">
        <is>
          <t>4-7 WEEKS/5-6 MONTHS</t>
        </is>
      </c>
      <c r="G12" s="6" t="inlineStr">
        <is>
          <t>YES</t>
        </is>
      </c>
      <c r="H12" s="6" t="n"/>
    </row>
    <row r="13">
      <c r="A13" s="6" t="inlineStr">
        <is>
          <t>GRAFBRO</t>
        </is>
      </c>
      <c r="B13" s="6" t="inlineStr">
        <is>
          <t>GLEN</t>
        </is>
      </c>
      <c r="C13" s="6" t="inlineStr">
        <is>
          <t>GLEN@GRAFBRO.COM</t>
        </is>
      </c>
      <c r="D13" s="6" t="n">
        <v>4167254964</v>
      </c>
      <c r="E13" s="6" t="inlineStr">
        <is>
          <t>ENGIN, R&amp;Q, ONLY UNF THEY OFFER IS W/O</t>
        </is>
      </c>
      <c r="F13" s="6" t="n"/>
      <c r="G13" s="6" t="n"/>
      <c r="H13" s="6" t="n"/>
    </row>
    <row r="14">
      <c r="A14" s="6" t="inlineStr">
        <is>
          <t>HILL WOOD PRODUCTS (ASHAWA BAY HDWD FLRS)</t>
        </is>
      </c>
      <c r="B14" s="6" t="inlineStr">
        <is>
          <t>KRIS WILSON</t>
        </is>
      </c>
      <c r="C14" s="6" t="inlineStr">
        <is>
          <t>KRIS@HILLWOODPRODUCTS.COM</t>
        </is>
      </c>
      <c r="D14" s="6" t="inlineStr">
        <is>
          <t>OFFICE:218-666-5933 X3 DIRECT: 218-361-2802</t>
        </is>
      </c>
      <c r="E14" s="6" t="inlineStr">
        <is>
          <t xml:space="preserve">UNFINISHED ENGINEERED IN 5/8", 3/4" &amp; 1/2", STANDARD LENGTHS ARE 2-8' CUSTOM UP TO 10', THEY DON'T PRODUCE ANY MOULDINGS </t>
        </is>
      </c>
      <c r="F14" s="6" t="inlineStr">
        <is>
          <t>5-7 WEEKS LEAD TIME</t>
        </is>
      </c>
      <c r="G14" s="6" t="inlineStr">
        <is>
          <t>YES</t>
        </is>
      </c>
      <c r="H14" s="6" t="n"/>
    </row>
    <row r="15">
      <c r="A15" s="6" t="inlineStr">
        <is>
          <t>INDIANA</t>
        </is>
      </c>
      <c r="B15" s="6" t="inlineStr">
        <is>
          <t>NANCY</t>
        </is>
      </c>
      <c r="C15" s="6" t="inlineStr">
        <is>
          <t>IHSFLOORS@GMAIL.COM</t>
        </is>
      </c>
      <c r="D15" s="6" t="n"/>
      <c r="E15" s="6" t="inlineStr">
        <is>
          <t>3/4" SOLID, RL 1' - 7', LL 2' - 10' HB MAX 24" NO CHEVRON, NO ENG. , NO SMOOTH, ONLY WIREBRUSHED TREATMENT</t>
        </is>
      </c>
      <c r="F15" s="6" t="inlineStr">
        <is>
          <t>5-6 WEEKS</t>
        </is>
      </c>
      <c r="G15" s="6" t="inlineStr">
        <is>
          <t>ABOUT 35 CENTS PER SF FOR FREIGHT, EITHER ROAR OR LTL</t>
        </is>
      </c>
      <c r="H15" s="6" t="inlineStr">
        <is>
          <t>pick up hours: 8am to 3:30 pm EST</t>
        </is>
      </c>
    </row>
    <row r="16">
      <c r="A16" s="6" t="inlineStr">
        <is>
          <t>JIM ZHANG</t>
        </is>
      </c>
      <c r="B16" s="6" t="inlineStr">
        <is>
          <t>JIM</t>
        </is>
      </c>
      <c r="C16" s="6" t="inlineStr">
        <is>
          <t>YIJIAMEIZHANG@163.COM</t>
        </is>
      </c>
      <c r="D16" s="6" t="n"/>
      <c r="E16" s="6" t="inlineStr">
        <is>
          <t>VINYL/LAMINATE</t>
        </is>
      </c>
      <c r="F16" s="6" t="n"/>
      <c r="G16" s="6" t="inlineStr">
        <is>
          <t>YES</t>
        </is>
      </c>
      <c r="H16" s="6" t="n"/>
    </row>
    <row r="17">
      <c r="A17" s="6" t="inlineStr">
        <is>
          <t>LEBANON</t>
        </is>
      </c>
      <c r="B17" s="6" t="inlineStr">
        <is>
          <t>RANDY</t>
        </is>
      </c>
      <c r="C17" s="6" t="inlineStr">
        <is>
          <t>rcmhardwoodfloors@gmail.com</t>
        </is>
      </c>
      <c r="D17" s="6" t="inlineStr">
        <is>
          <t>530-515-3061</t>
        </is>
      </c>
      <c r="E17" s="8" t="inlineStr">
        <is>
          <t xml:space="preserve">Orders:  lebanonoakflooring@windstream.net 
</t>
        </is>
      </c>
      <c r="F17" s="6" t="inlineStr">
        <is>
          <t>stock of 1/2 x 2</t>
        </is>
      </c>
      <c r="G17" s="6" t="n"/>
      <c r="H17" s="6" t="n"/>
    </row>
    <row r="18">
      <c r="A18" s="6" t="inlineStr">
        <is>
          <t>LEWIS</t>
        </is>
      </c>
      <c r="B18" s="6" t="inlineStr">
        <is>
          <t>LIBBY/TIM</t>
        </is>
      </c>
      <c r="C18" s="6" t="inlineStr">
        <is>
          <t>LLEWIS@LEWISMILLING.COM</t>
        </is>
      </c>
      <c r="D18" s="6" t="inlineStr">
        <is>
          <t>TELLRICH@LEWISMILLING.COM</t>
        </is>
      </c>
      <c r="E18" s="6" t="inlineStr">
        <is>
          <t>2.25/3/4/5/6, RQ, UNF SOLID NO Walnut, no 1/2"sizes</t>
        </is>
      </c>
      <c r="F18" s="6" t="n"/>
      <c r="G18" s="6" t="n"/>
      <c r="H18" s="6" t="n"/>
    </row>
    <row r="19">
      <c r="A19" s="6" t="inlineStr">
        <is>
          <t>MACON</t>
        </is>
      </c>
      <c r="B19" s="6" t="inlineStr">
        <is>
          <t>JUSTIN/ TYLER</t>
        </is>
      </c>
      <c r="C19" s="8" t="inlineStr">
        <is>
          <t>JUSTIN@MACONHARDWOOD.COM  tyler@maconhardwood.com
EMAIL Kathy for tracking :kathy@maconhardwood.com</t>
        </is>
      </c>
      <c r="D19" s="6" t="inlineStr">
        <is>
          <t>478-405-2293</t>
        </is>
      </c>
      <c r="E19" s="6" t="inlineStr">
        <is>
          <t xml:space="preserve">UNF/PREF ENG   </t>
        </is>
      </c>
      <c r="F19" s="6" t="inlineStr">
        <is>
          <t>2-3/4-5 WEEKS</t>
        </is>
      </c>
      <c r="G19" s="6" t="inlineStr">
        <is>
          <t>YES</t>
        </is>
      </c>
      <c r="H19" s="6" t="n"/>
    </row>
    <row r="20">
      <c r="A20" s="6" t="inlineStr">
        <is>
          <t>MICHAEL D'ANGELO (MDI)</t>
        </is>
      </c>
      <c r="B20" s="6" t="n"/>
      <c r="C20" s="6" t="inlineStr">
        <is>
          <t>OPERATIONS@MICHAELDANGELO.COM</t>
        </is>
      </c>
      <c r="D20" s="6" t="n"/>
      <c r="E20" s="6" t="inlineStr">
        <is>
          <t xml:space="preserve">pattern flooring </t>
        </is>
      </c>
      <c r="F20" s="6" t="n"/>
      <c r="G20" s="6" t="n"/>
      <c r="H20" s="6" t="n"/>
    </row>
    <row r="21">
      <c r="A21" s="6" t="inlineStr">
        <is>
          <t>MULLICAN</t>
        </is>
      </c>
      <c r="B21" s="6" t="inlineStr">
        <is>
          <t>KEVIN</t>
        </is>
      </c>
      <c r="C21" s="6" t="inlineStr">
        <is>
          <t>KMURPHY@MULLICANFLOORING.COM</t>
        </is>
      </c>
      <c r="D21" s="6" t="n"/>
      <c r="E21" s="6" t="inlineStr">
        <is>
          <t>5/8" UNFIN ENG, DOESN'T CARRY WALNUT, NO HB, NO 7" MAPLE, RIFT/QTR IN 2-1/4" and 3-1/4"</t>
        </is>
      </c>
      <c r="F21" s="6" t="n"/>
      <c r="G21" s="6" t="inlineStr">
        <is>
          <t>35 CENTS/SF FREIGHT ON AVG</t>
        </is>
      </c>
      <c r="H21" s="6" t="n"/>
    </row>
    <row r="22">
      <c r="A22" s="6" t="inlineStr">
        <is>
          <t>MUSCANELL</t>
        </is>
      </c>
      <c r="B22" s="6" t="inlineStr">
        <is>
          <t>KYLE</t>
        </is>
      </c>
      <c r="C22" s="6" t="inlineStr">
        <is>
          <t>KYLE@MUSCANELL.COM</t>
        </is>
      </c>
      <c r="D22" s="6" t="n"/>
      <c r="E22" s="8" t="inlineStr">
        <is>
          <t xml:space="preserve">3" UNFINISHED, AMERICAN CHERRY, HICKORY, RED OAK, WALNUT, WHITE ASH, WHITE OAK, WHITE OAK QTR/RFT
</t>
        </is>
      </c>
      <c r="F22" s="6" t="n"/>
      <c r="G22" s="8" t="inlineStr">
        <is>
          <t>2221/CONTAINER
17,000 SF/CONTAINER</t>
        </is>
      </c>
      <c r="H22" s="6" t="n"/>
    </row>
    <row r="23">
      <c r="A23" s="6" t="inlineStr">
        <is>
          <t>OASIS</t>
        </is>
      </c>
      <c r="B23" s="6" t="n"/>
      <c r="C23" s="6" t="inlineStr">
        <is>
          <t>info@oasiswoodflooring.com</t>
        </is>
      </c>
      <c r="D23" s="6" t="n"/>
      <c r="E23" s="6" t="inlineStr">
        <is>
          <t xml:space="preserve">PREF ENG, ONLY QUOTE FROM PRICELIST, </t>
        </is>
      </c>
      <c r="F23" s="6" t="n"/>
      <c r="G23" s="6" t="n"/>
      <c r="H23" s="6" t="n"/>
    </row>
    <row r="24">
      <c r="A24" s="6" t="inlineStr">
        <is>
          <t xml:space="preserve">ORILLIA </t>
        </is>
      </c>
      <c r="B24" s="6" t="inlineStr">
        <is>
          <t>JANE</t>
        </is>
      </c>
      <c r="C24" s="6" t="inlineStr">
        <is>
          <t>jstannus.oww@outlook.com</t>
        </is>
      </c>
      <c r="D24" s="6" t="inlineStr">
        <is>
          <t>705-327-0700</t>
        </is>
      </c>
      <c r="E24" s="6" t="inlineStr">
        <is>
          <t xml:space="preserve">fulll pallet of 1/2"X 2=1400 sf, 1/2" x 1-1/2=1350 </t>
        </is>
      </c>
      <c r="F24" s="6" t="n"/>
      <c r="G24" s="6" t="n"/>
      <c r="H24" s="6" t="n"/>
    </row>
    <row r="25">
      <c r="A25" s="6" t="inlineStr">
        <is>
          <t>OSHKOSH</t>
        </is>
      </c>
      <c r="B25" s="6" t="inlineStr">
        <is>
          <t>TAMMY</t>
        </is>
      </c>
      <c r="C25" s="6" t="inlineStr">
        <is>
          <t>TDAVIS@OSHKOSHDESIGNS.COM</t>
        </is>
      </c>
      <c r="D25" s="6" t="n"/>
      <c r="E25" s="6" t="n"/>
      <c r="F25" s="6" t="n"/>
      <c r="G25" s="6" t="n"/>
      <c r="H25" s="6" t="n"/>
    </row>
    <row r="26" ht="60" customHeight="1">
      <c r="A26" s="6" t="inlineStr">
        <is>
          <t>PACIFIC</t>
        </is>
      </c>
      <c r="B26" s="6" t="inlineStr">
        <is>
          <t>JOSHUA</t>
        </is>
      </c>
      <c r="C26" s="6" t="inlineStr">
        <is>
          <t>JHERNANDEZ@PACIFICHARDWOOD.COM</t>
        </is>
      </c>
      <c r="D26" s="6" t="n"/>
      <c r="E26" s="8" t="inlineStr">
        <is>
          <t>EXOTICS, HIGH PRICE FOR LOW VOLUME ORDERS 500SF+ FOR GOOD PRICE, ENG &amp; SOLID, UNFI/PREFIN *W/NEED PICTURE AS A REFERENCE OF COLOR/FINISH, NO SQ EDGE ON PREFINISH, NO ACACIA, NO 3/8"   THINNEST MATERIAL IS 7/16" 
WILL ALWAYS QUOTE 2'-10'/12' EVEN IF RL ///4mm will net 3.5, 6mm will net 5.2. 
HB is double end grooved with slip tongue included unless L&amp;R pieces requested. Solid has lenghtwise grooves.MOQ to avoid set-up fee: 300 SF, relief cuts on engineered are lengthwise</t>
        </is>
      </c>
      <c r="F26" s="6" t="inlineStr">
        <is>
          <t xml:space="preserve">6-8 weeks </t>
        </is>
      </c>
      <c r="G26" s="6" t="n"/>
      <c r="H26" s="6" t="n"/>
    </row>
    <row r="27">
      <c r="A27" s="6" t="inlineStr">
        <is>
          <t>QUEENS</t>
        </is>
      </c>
      <c r="B27" s="6" t="inlineStr">
        <is>
          <t>ZAREH/ JANOS DOMINA</t>
        </is>
      </c>
      <c r="C27" s="6" t="inlineStr">
        <is>
          <t>INFO@QUEENSPARQUET.COM john.domina@yahoo.com</t>
        </is>
      </c>
      <c r="D27" s="6" t="inlineStr">
        <is>
          <t>818-468-4302</t>
        </is>
      </c>
      <c r="E27" s="6" t="inlineStr">
        <is>
          <t xml:space="preserve">SOLID/ ENGINEERED CUSTOM </t>
        </is>
      </c>
      <c r="F27" s="6" t="inlineStr">
        <is>
          <t>4-5 WEEKS</t>
        </is>
      </c>
      <c r="G27" s="6" t="inlineStr">
        <is>
          <t xml:space="preserve">Per Janos , David is leaving the company, email address no longer valid. Janos Domina is also a customer, ok per Jim via text 10/14/25 to quote with him. </t>
        </is>
      </c>
      <c r="H27" s="6" t="n"/>
    </row>
    <row r="28">
      <c r="A28" s="6" t="inlineStr">
        <is>
          <t>ROBINSON</t>
        </is>
      </c>
      <c r="B28" s="6" t="inlineStr">
        <is>
          <t>JACQUELINE</t>
        </is>
      </c>
      <c r="C28" s="6" t="inlineStr">
        <is>
          <t>JACQUELINE@ROBLUMCO.COM</t>
        </is>
      </c>
      <c r="D28" s="6" t="n"/>
      <c r="E28" s="6" t="inlineStr">
        <is>
          <t xml:space="preserve">UNF/PREF EXOTICS, $100 pallet breaking fee </t>
        </is>
      </c>
      <c r="F28" s="6" t="inlineStr">
        <is>
          <t>3-4 WEEKS</t>
        </is>
      </c>
      <c r="G28" s="6" t="n"/>
      <c r="H28" s="6" t="n"/>
    </row>
    <row r="29">
      <c r="A29" s="6" t="inlineStr">
        <is>
          <t>SAROYAN</t>
        </is>
      </c>
      <c r="B29" s="6" t="inlineStr">
        <is>
          <t>DOUG</t>
        </is>
      </c>
      <c r="C29" s="6" t="inlineStr">
        <is>
          <t>DT@SAROYANHARDWOODS.COM</t>
        </is>
      </c>
      <c r="D29" s="6" t="n"/>
      <c r="E29" s="6" t="inlineStr">
        <is>
          <t>ENGINEERED, NO ROTARY PEEL, NO PREFINISHED</t>
        </is>
      </c>
      <c r="F29" s="6" t="inlineStr">
        <is>
          <t>8-10 WEEKS</t>
        </is>
      </c>
      <c r="G29" s="6" t="inlineStr">
        <is>
          <t>SET UP CHARGE</t>
        </is>
      </c>
      <c r="H29" s="6" t="n"/>
    </row>
    <row r="30" ht="30" customHeight="1">
      <c r="A30" s="6" t="inlineStr">
        <is>
          <t>SHEOGA</t>
        </is>
      </c>
      <c r="B30" s="6" t="inlineStr">
        <is>
          <t>Michael Coates</t>
        </is>
      </c>
      <c r="C30" s="6" t="inlineStr">
        <is>
          <t>sheogaflooring@gmail.com or mike@sheogaflooring</t>
        </is>
      </c>
      <c r="D30" s="6" t="inlineStr">
        <is>
          <t>916-778-7471</t>
        </is>
      </c>
      <c r="E30" s="8" t="inlineStr">
        <is>
          <t>3/4" solid and engineered unf/pref beech,cherry,hickory,maple, r/o,walnut,w/o, w/o live sawn, w/o qtr/rift ,5.25mm wl on eng. 6 textures available, HB and Chevron
noings are RL 3-10', pcs depend on availability</t>
        </is>
      </c>
      <c r="F30" s="6" t="n"/>
      <c r="G30" s="6" t="n"/>
      <c r="H30" s="6" t="n"/>
    </row>
    <row r="31">
      <c r="A31" s="6" t="inlineStr">
        <is>
          <t>SWANER</t>
        </is>
      </c>
      <c r="B31" s="6" t="n"/>
      <c r="C31" s="6" t="inlineStr">
        <is>
          <t>keith@swanerhardwood.com</t>
        </is>
      </c>
      <c r="D31" s="6" t="n"/>
      <c r="E31" s="6" t="inlineStr">
        <is>
          <t>NO PINE</t>
        </is>
      </c>
      <c r="F31" s="6" t="n"/>
      <c r="G31" s="6" t="n"/>
      <c r="H31" s="6" t="n"/>
    </row>
    <row r="32">
      <c r="A32" s="6" t="inlineStr">
        <is>
          <t>TRADELINK</t>
        </is>
      </c>
      <c r="B32" s="6" t="inlineStr">
        <is>
          <t>RYAN</t>
        </is>
      </c>
      <c r="C32" s="6" t="inlineStr">
        <is>
          <t>RPACE@TRADELINK-GROUP.COM</t>
        </is>
      </c>
      <c r="D32" s="6" t="n"/>
      <c r="E32" s="6" t="inlineStr">
        <is>
          <t xml:space="preserve">EXOTICS ; CLOSEST WAREHOUSE IS IN STOCKTON </t>
        </is>
      </c>
      <c r="F32" s="6" t="n"/>
      <c r="G32" s="6" t="n"/>
      <c r="H32" s="6" t="n"/>
    </row>
    <row r="33">
      <c r="A33" s="6" t="inlineStr">
        <is>
          <t>TROPICAL</t>
        </is>
      </c>
      <c r="B33" s="6" t="n"/>
      <c r="C33" s="6" t="inlineStr">
        <is>
          <t>SALES@TROPICALFLOORING.NET</t>
        </is>
      </c>
      <c r="D33" s="6" t="n"/>
      <c r="E33" s="6" t="inlineStr">
        <is>
          <t>NO CUSTOM, EXOTIC, PREFINISHED</t>
        </is>
      </c>
      <c r="F33" s="6" t="n"/>
      <c r="G33" s="6" t="n"/>
      <c r="H33" s="6" t="n"/>
    </row>
    <row r="34">
      <c r="A34" s="6" t="inlineStr">
        <is>
          <t>STEVE</t>
        </is>
      </c>
      <c r="B34" s="6" t="inlineStr">
        <is>
          <t>STEVE</t>
        </is>
      </c>
      <c r="C34" s="6" t="n"/>
      <c r="D34" s="6" t="inlineStr">
        <is>
          <t>909-261-0889</t>
        </is>
      </c>
      <c r="E34" s="6" t="inlineStr">
        <is>
          <t xml:space="preserve">SHAUL'S CONTACT; NO ADDITIONAL INFO </t>
        </is>
      </c>
      <c r="F34" s="6" t="n"/>
      <c r="G34" s="6" t="n"/>
      <c r="H34" s="6" t="n"/>
    </row>
    <row r="35">
      <c r="A35" s="6" t="inlineStr">
        <is>
          <t>APPALACHIAN FLOORING</t>
        </is>
      </c>
      <c r="B35" s="6" t="inlineStr">
        <is>
          <t>KAROLYNE</t>
        </is>
      </c>
      <c r="C35" s="6" t="inlineStr">
        <is>
          <t>karolynec@appalachianflooring.com</t>
        </is>
      </c>
      <c r="D35" s="6" t="inlineStr">
        <is>
          <t>450-266-3999 X 227</t>
        </is>
      </c>
      <c r="E35" s="6" t="n"/>
      <c r="F35" s="6" t="n"/>
      <c r="G35" s="6" t="n"/>
      <c r="H35" s="6" t="n"/>
    </row>
    <row r="36">
      <c r="A36" s="6" t="inlineStr">
        <is>
          <t>PARR LUMBER</t>
        </is>
      </c>
      <c r="B36" s="6" t="inlineStr">
        <is>
          <t>Steve Daugherty</t>
        </is>
      </c>
      <c r="C36" s="6" t="inlineStr">
        <is>
          <t>sdaugherty@parrlumberchino.com</t>
        </is>
      </c>
      <c r="D36" s="6" t="inlineStr">
        <is>
          <t>909-627-0953 x 218</t>
        </is>
      </c>
      <c r="E36" s="6" t="inlineStr">
        <is>
          <t>MDF BACK BOARD FOR SAMPLES, ALLORA PALLET COMPONENTS</t>
        </is>
      </c>
      <c r="F36" s="6" t="n"/>
      <c r="G36" s="6" t="n"/>
      <c r="H36" s="6" t="n"/>
    </row>
    <row r="37">
      <c r="A37" s="6" t="inlineStr">
        <is>
          <t>INFINITY / AACER</t>
        </is>
      </c>
      <c r="B37" s="6" t="inlineStr">
        <is>
          <t>TOM BLAKEMAN</t>
        </is>
      </c>
      <c r="C37" s="6" t="inlineStr">
        <is>
          <t>tom@aacerflooring.com</t>
        </is>
      </c>
      <c r="D37" s="6" t="inlineStr">
        <is>
          <t>414-349-5989</t>
        </is>
      </c>
      <c r="E37" s="6" t="inlineStr">
        <is>
          <t>MAPLE, COURT SYSTEMS (NO RETURNS ON MATERIAL)</t>
        </is>
      </c>
      <c r="F37" s="6" t="n"/>
      <c r="G37" s="6" t="n"/>
      <c r="H37" s="6" t="n"/>
    </row>
    <row r="38">
      <c r="A38" s="6" t="inlineStr">
        <is>
          <t xml:space="preserve">Ashawa Bay </t>
        </is>
      </c>
      <c r="B38" s="6" t="inlineStr">
        <is>
          <t>Kris Wilson</t>
        </is>
      </c>
      <c r="C38" s="6" t="inlineStr">
        <is>
          <t>kris@hillwoodproducts.com</t>
        </is>
      </c>
      <c r="D38" s="6" t="inlineStr">
        <is>
          <t>218-666-5933 x3 /  218-361-2802</t>
        </is>
      </c>
      <c r="E38" s="6" t="inlineStr">
        <is>
          <t xml:space="preserve">ENGINEERED 5/8", 3/4" AND 1/2" ,CHEVRON &amp; HB MATERIAL </t>
        </is>
      </c>
      <c r="F38" s="6" t="inlineStr">
        <is>
          <t xml:space="preserve">4-6 WEEK ETA </t>
        </is>
      </c>
      <c r="G38" s="6" t="inlineStr">
        <is>
          <t xml:space="preserve">WE PAY FREIGHT </t>
        </is>
      </c>
      <c r="H38" s="6" t="n"/>
    </row>
  </sheetData>
  <autoFilter ref="A1:H82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41" activePane="bottomLeft" state="frozen"/>
      <selection activeCell="G69" sqref="G69"/>
      <selection pane="bottomLeft" activeCell="C48" sqref="C48"/>
    </sheetView>
  </sheetViews>
  <sheetFormatPr baseColWidth="8" defaultRowHeight="15"/>
  <cols>
    <col width="9" bestFit="1" customWidth="1" min="1" max="1"/>
    <col width="15.7109375" bestFit="1" customWidth="1" min="2" max="2"/>
    <col width="30" bestFit="1" customWidth="1" min="3" max="3"/>
    <col width="12.28515625" bestFit="1" customWidth="1" min="4" max="4"/>
    <col width="8.7109375" bestFit="1" customWidth="1" min="5" max="5"/>
    <col width="11" bestFit="1" customWidth="1" min="6" max="6"/>
    <col width="13.42578125" bestFit="1" customWidth="1" min="7" max="7"/>
    <col width="7.7109375" bestFit="1" customWidth="1" min="8" max="8"/>
    <col width="14.7109375" bestFit="1" customWidth="1" min="9" max="9"/>
  </cols>
  <sheetData>
    <row r="1">
      <c r="A1" s="15" t="inlineStr">
        <is>
          <t>INDEX</t>
        </is>
      </c>
      <c r="B1" s="15" t="inlineStr">
        <is>
          <t>Item Number</t>
        </is>
      </c>
      <c r="C1" s="15" t="inlineStr">
        <is>
          <t>Description</t>
        </is>
      </c>
      <c r="D1" s="15" t="inlineStr">
        <is>
          <t>Thickness</t>
        </is>
      </c>
      <c r="E1" s="15" t="inlineStr">
        <is>
          <t>Width</t>
        </is>
      </c>
      <c r="F1" s="15" t="inlineStr">
        <is>
          <t>Species</t>
        </is>
      </c>
      <c r="G1" s="15" t="inlineStr">
        <is>
          <t>Grade/Cut</t>
        </is>
      </c>
      <c r="H1" s="15" t="inlineStr">
        <is>
          <t>Edge</t>
        </is>
      </c>
      <c r="I1" s="15" t="inlineStr">
        <is>
          <t>Bundles</t>
        </is>
      </c>
    </row>
    <row r="2">
      <c r="A2" s="14" t="n">
        <v>1</v>
      </c>
      <c r="B2" s="14" t="inlineStr">
        <is>
          <t>DF512PI</t>
        </is>
      </c>
      <c r="C2" s="14" t="inlineStr">
        <is>
          <t>1" X 6" IPE DECK FLOORING (RL)</t>
        </is>
      </c>
      <c r="D2" s="14" t="inlineStr">
        <is>
          <t>1"</t>
        </is>
      </c>
      <c r="E2" s="14" t="inlineStr">
        <is>
          <t>6"</t>
        </is>
      </c>
      <c r="F2" s="14" t="inlineStr">
        <is>
          <t>Ipe</t>
        </is>
      </c>
      <c r="G2" s="14" t="n"/>
      <c r="H2" s="14" t="n"/>
      <c r="I2" s="14" t="inlineStr">
        <is>
          <t>Random Length</t>
        </is>
      </c>
    </row>
    <row r="3">
      <c r="A3" s="14" t="n">
        <v>2</v>
      </c>
      <c r="B3" s="14" t="inlineStr">
        <is>
          <t>DF512PIL</t>
        </is>
      </c>
      <c r="C3" s="14" t="inlineStr">
        <is>
          <t>1" X 6" IPE DECK FLOORING (LL)</t>
        </is>
      </c>
      <c r="D3" s="14" t="inlineStr">
        <is>
          <t>1"</t>
        </is>
      </c>
      <c r="E3" s="14" t="inlineStr">
        <is>
          <t>6"</t>
        </is>
      </c>
      <c r="F3" s="14" t="inlineStr">
        <is>
          <t>Ipe</t>
        </is>
      </c>
      <c r="G3" s="14" t="n"/>
      <c r="H3" s="14" t="n"/>
      <c r="I3" s="14" t="inlineStr">
        <is>
          <t>Long Length</t>
        </is>
      </c>
    </row>
    <row r="4">
      <c r="A4" s="14" t="n">
        <v>5</v>
      </c>
      <c r="B4" s="14" t="inlineStr">
        <is>
          <t>RH112QOSNB-15</t>
        </is>
      </c>
      <c r="C4" s="14" t="inlineStr">
        <is>
          <t xml:space="preserve">1/2 x 1 1/2" R&amp;Q W/O NESTED   </t>
        </is>
      </c>
      <c r="D4" s="14" t="inlineStr">
        <is>
          <t>1/2"</t>
        </is>
      </c>
      <c r="E4" s="14" t="inlineStr">
        <is>
          <t>1-1/2"</t>
        </is>
      </c>
      <c r="F4" s="14" t="inlineStr">
        <is>
          <t>White Oak</t>
        </is>
      </c>
      <c r="G4" s="14" t="inlineStr">
        <is>
          <t>Rift &amp; Quarter</t>
        </is>
      </c>
      <c r="H4" s="14" t="n"/>
      <c r="I4" s="14" t="inlineStr">
        <is>
          <t>Nested</t>
        </is>
      </c>
    </row>
    <row r="5">
      <c r="A5" s="14" t="n">
        <v>5</v>
      </c>
      <c r="B5" s="14" t="inlineStr">
        <is>
          <t>RH112QOSNB-24</t>
        </is>
      </c>
      <c r="C5" s="14" t="inlineStr">
        <is>
          <t xml:space="preserve">1/2 x 1 1/2" R&amp;Q W/O NESTED   </t>
        </is>
      </c>
      <c r="D5" s="14" t="inlineStr">
        <is>
          <t>1/2"</t>
        </is>
      </c>
      <c r="E5" s="14" t="inlineStr">
        <is>
          <t>1-1/2"</t>
        </is>
      </c>
      <c r="F5" s="14" t="inlineStr">
        <is>
          <t>White Oak</t>
        </is>
      </c>
      <c r="G5" s="14" t="inlineStr">
        <is>
          <t>Rift &amp; Quarter</t>
        </is>
      </c>
      <c r="H5" s="14" t="n"/>
      <c r="I5" s="14" t="inlineStr">
        <is>
          <t>Nested</t>
        </is>
      </c>
    </row>
    <row r="6">
      <c r="A6" s="14" t="n">
        <v>3</v>
      </c>
      <c r="B6" s="14" t="inlineStr">
        <is>
          <t>RH112QRSNB-15</t>
        </is>
      </c>
      <c r="C6" s="14" t="inlineStr">
        <is>
          <t xml:space="preserve">1/2 x 1 1/2" R&amp;Q R/O NESTED   </t>
        </is>
      </c>
      <c r="D6" s="14" t="inlineStr">
        <is>
          <t>1/2"</t>
        </is>
      </c>
      <c r="E6" s="14" t="inlineStr">
        <is>
          <t>1-1/2"</t>
        </is>
      </c>
      <c r="F6" s="14" t="inlineStr">
        <is>
          <t>Red Oak</t>
        </is>
      </c>
      <c r="G6" s="14" t="inlineStr">
        <is>
          <t>Rift &amp; Quarter</t>
        </is>
      </c>
      <c r="H6" s="14" t="n"/>
      <c r="I6" s="14" t="inlineStr">
        <is>
          <t>Nested</t>
        </is>
      </c>
    </row>
    <row r="7">
      <c r="A7" s="14" t="n">
        <v>3</v>
      </c>
      <c r="B7" s="14" t="inlineStr">
        <is>
          <t>RH112QRSNB-24</t>
        </is>
      </c>
      <c r="C7" s="14" t="inlineStr">
        <is>
          <t xml:space="preserve">1/2 x 1 1/2" R&amp;Q R/O NESTED   </t>
        </is>
      </c>
      <c r="D7" s="14" t="inlineStr">
        <is>
          <t>1/2"</t>
        </is>
      </c>
      <c r="E7" s="14" t="inlineStr">
        <is>
          <t>1-1/2"</t>
        </is>
      </c>
      <c r="F7" s="14" t="inlineStr">
        <is>
          <t>Red Oak</t>
        </is>
      </c>
      <c r="G7" s="14" t="inlineStr">
        <is>
          <t>Rift &amp; Quarter</t>
        </is>
      </c>
      <c r="H7" s="14" t="n"/>
      <c r="I7" s="14" t="inlineStr">
        <is>
          <t>Nested</t>
        </is>
      </c>
    </row>
    <row r="8">
      <c r="A8" s="14" t="n">
        <v>6</v>
      </c>
      <c r="B8" s="14" t="inlineStr">
        <is>
          <t>RH112SOSNB</t>
        </is>
      </c>
      <c r="C8" s="14" t="inlineStr">
        <is>
          <t xml:space="preserve">1/2 x 1 1/2 SELECT W/O NESTED </t>
        </is>
      </c>
      <c r="D8" s="14" t="inlineStr">
        <is>
          <t>1/2"</t>
        </is>
      </c>
      <c r="E8" s="14" t="inlineStr">
        <is>
          <t>1-1/2"</t>
        </is>
      </c>
      <c r="F8" s="14" t="inlineStr">
        <is>
          <t>White Oak</t>
        </is>
      </c>
      <c r="G8" s="14" t="inlineStr">
        <is>
          <t>Select</t>
        </is>
      </c>
      <c r="H8" s="14" t="n"/>
      <c r="I8" s="14" t="inlineStr">
        <is>
          <t>Nested</t>
        </is>
      </c>
    </row>
    <row r="9">
      <c r="A9" s="14" t="n">
        <v>6</v>
      </c>
      <c r="B9" s="14" t="inlineStr">
        <is>
          <t>RH112SOSNB-15</t>
        </is>
      </c>
      <c r="C9" s="14" t="inlineStr">
        <is>
          <t>1/2 x 1-1/2" SELECT W/O NESTED</t>
        </is>
      </c>
      <c r="D9" s="14" t="inlineStr">
        <is>
          <t>1/2"</t>
        </is>
      </c>
      <c r="E9" s="14" t="inlineStr">
        <is>
          <t>1-1/2"</t>
        </is>
      </c>
      <c r="F9" s="14" t="inlineStr">
        <is>
          <t>White Oak</t>
        </is>
      </c>
      <c r="G9" s="14" t="inlineStr">
        <is>
          <t>Select</t>
        </is>
      </c>
      <c r="H9" s="14" t="n"/>
      <c r="I9" s="14" t="inlineStr">
        <is>
          <t>Nested</t>
        </is>
      </c>
    </row>
    <row r="10">
      <c r="A10" s="14" t="n">
        <v>6</v>
      </c>
      <c r="B10" s="14" t="inlineStr">
        <is>
          <t>RH112SOSNB-24</t>
        </is>
      </c>
      <c r="C10" s="14" t="inlineStr">
        <is>
          <t>1/2 x 1 1/2" SELECT W/O NESTED</t>
        </is>
      </c>
      <c r="D10" s="14" t="inlineStr">
        <is>
          <t>1/2"</t>
        </is>
      </c>
      <c r="E10" s="14" t="inlineStr">
        <is>
          <t>1-1/2"</t>
        </is>
      </c>
      <c r="F10" s="14" t="inlineStr">
        <is>
          <t>White Oak</t>
        </is>
      </c>
      <c r="G10" s="14" t="inlineStr">
        <is>
          <t>Select</t>
        </is>
      </c>
      <c r="H10" s="14" t="n"/>
      <c r="I10" s="14" t="inlineStr">
        <is>
          <t>Nested</t>
        </is>
      </c>
    </row>
    <row r="11">
      <c r="A11" s="14" t="n">
        <v>4</v>
      </c>
      <c r="B11" s="14" t="inlineStr">
        <is>
          <t>RH112SRSNB</t>
        </is>
      </c>
      <c r="C11" s="14" t="inlineStr">
        <is>
          <t xml:space="preserve">1/2 x 1 1/2 SELECT R/O NESTED </t>
        </is>
      </c>
      <c r="D11" s="14" t="inlineStr">
        <is>
          <t>1/2"</t>
        </is>
      </c>
      <c r="E11" s="14" t="inlineStr">
        <is>
          <t>1-1/2"</t>
        </is>
      </c>
      <c r="F11" s="14" t="inlineStr">
        <is>
          <t>Red Oak</t>
        </is>
      </c>
      <c r="G11" s="14" t="inlineStr">
        <is>
          <t>Select</t>
        </is>
      </c>
      <c r="H11" s="14" t="n"/>
      <c r="I11" s="14" t="inlineStr">
        <is>
          <t>Nested</t>
        </is>
      </c>
    </row>
    <row r="12">
      <c r="A12" s="14" t="n">
        <v>4</v>
      </c>
      <c r="B12" s="14" t="inlineStr">
        <is>
          <t>RH112SRSNB-15</t>
        </is>
      </c>
      <c r="C12" s="14" t="inlineStr">
        <is>
          <t>1/2 x 1-1/2" SELECT R/O NESTED</t>
        </is>
      </c>
      <c r="D12" s="14" t="inlineStr">
        <is>
          <t>1/2"</t>
        </is>
      </c>
      <c r="E12" s="14" t="inlineStr">
        <is>
          <t>1-1/2"</t>
        </is>
      </c>
      <c r="F12" s="14" t="inlineStr">
        <is>
          <t>Red Oak</t>
        </is>
      </c>
      <c r="G12" s="14" t="inlineStr">
        <is>
          <t>Select</t>
        </is>
      </c>
      <c r="H12" s="14" t="n"/>
      <c r="I12" s="14" t="inlineStr">
        <is>
          <t>Nested</t>
        </is>
      </c>
    </row>
    <row r="13">
      <c r="A13" s="14" t="n">
        <v>4</v>
      </c>
      <c r="B13" s="14" t="inlineStr">
        <is>
          <t>RH112SRSNB-24</t>
        </is>
      </c>
      <c r="C13" s="14" t="inlineStr">
        <is>
          <t>1/2 x 1 1/2" SELECT R/O NESTED</t>
        </is>
      </c>
      <c r="D13" s="14" t="inlineStr">
        <is>
          <t>1/2"</t>
        </is>
      </c>
      <c r="E13" s="14" t="inlineStr">
        <is>
          <t>1-1/2"</t>
        </is>
      </c>
      <c r="F13" s="14" t="inlineStr">
        <is>
          <t>Red Oak</t>
        </is>
      </c>
      <c r="G13" s="14" t="inlineStr">
        <is>
          <t>Select</t>
        </is>
      </c>
      <c r="H13" s="14" t="n"/>
      <c r="I13" s="14" t="inlineStr">
        <is>
          <t>Nested</t>
        </is>
      </c>
    </row>
    <row r="14">
      <c r="A14" s="14" t="n">
        <v>9</v>
      </c>
      <c r="B14" s="14" t="inlineStr">
        <is>
          <t>RH2QOSNB</t>
        </is>
      </c>
      <c r="C14" s="14" t="inlineStr">
        <is>
          <t xml:space="preserve">1/2 x 2" RIFT/OTR W/O NESTED  </t>
        </is>
      </c>
      <c r="D14" s="14" t="inlineStr">
        <is>
          <t>1/2"</t>
        </is>
      </c>
      <c r="E14" s="14" t="inlineStr">
        <is>
          <t>2"</t>
        </is>
      </c>
      <c r="F14" s="14" t="inlineStr">
        <is>
          <t>White Oak</t>
        </is>
      </c>
      <c r="G14" s="14" t="inlineStr">
        <is>
          <t>Rift &amp; Quarter</t>
        </is>
      </c>
      <c r="H14" s="14" t="n"/>
      <c r="I14" s="14" t="inlineStr">
        <is>
          <t>Nested</t>
        </is>
      </c>
    </row>
    <row r="15">
      <c r="A15" s="14" t="n">
        <v>9</v>
      </c>
      <c r="B15" s="14" t="inlineStr">
        <is>
          <t>RH2QOSNB-20</t>
        </is>
      </c>
      <c r="C15" s="14" t="inlineStr">
        <is>
          <t xml:space="preserve">1/2 x 2" RIFT/OTR W/O NESTED  </t>
        </is>
      </c>
      <c r="D15" s="14" t="inlineStr">
        <is>
          <t>1/2"</t>
        </is>
      </c>
      <c r="E15" s="14" t="inlineStr">
        <is>
          <t>2"</t>
        </is>
      </c>
      <c r="F15" s="14" t="inlineStr">
        <is>
          <t>White Oak</t>
        </is>
      </c>
      <c r="G15" s="14" t="inlineStr">
        <is>
          <t>Rift &amp; Quarter</t>
        </is>
      </c>
      <c r="H15" s="14" t="n"/>
      <c r="I15" s="14" t="inlineStr">
        <is>
          <t>Nested</t>
        </is>
      </c>
    </row>
    <row r="16">
      <c r="A16" s="14" t="n">
        <v>9</v>
      </c>
      <c r="B16" s="14" t="inlineStr">
        <is>
          <t>RH2QOSNB-24</t>
        </is>
      </c>
      <c r="C16" s="14" t="inlineStr">
        <is>
          <t xml:space="preserve">1/2 x 2" RIFT/OTR W/O NESTED  </t>
        </is>
      </c>
      <c r="D16" s="14" t="inlineStr">
        <is>
          <t>1/2"</t>
        </is>
      </c>
      <c r="E16" s="14" t="inlineStr">
        <is>
          <t>2"</t>
        </is>
      </c>
      <c r="F16" s="14" t="inlineStr">
        <is>
          <t>White Oak</t>
        </is>
      </c>
      <c r="G16" s="14" t="inlineStr">
        <is>
          <t>Rift &amp; Quarter</t>
        </is>
      </c>
      <c r="H16" s="14" t="n"/>
      <c r="I16" s="14" t="inlineStr">
        <is>
          <t>Nested</t>
        </is>
      </c>
    </row>
    <row r="17">
      <c r="A17" s="14" t="n">
        <v>7</v>
      </c>
      <c r="B17" s="14" t="inlineStr">
        <is>
          <t>RH2QRSNB</t>
        </is>
      </c>
      <c r="C17" s="14" t="inlineStr">
        <is>
          <t xml:space="preserve">1/2 x 2" RIFT/QTR R/O NESTED  </t>
        </is>
      </c>
      <c r="D17" s="14" t="inlineStr">
        <is>
          <t>1/2"</t>
        </is>
      </c>
      <c r="E17" s="14" t="inlineStr">
        <is>
          <t>2"</t>
        </is>
      </c>
      <c r="F17" s="14" t="inlineStr">
        <is>
          <t>Red Oak</t>
        </is>
      </c>
      <c r="G17" s="14" t="inlineStr">
        <is>
          <t>Rift &amp; Quarter</t>
        </is>
      </c>
      <c r="H17" s="14" t="n"/>
      <c r="I17" s="14" t="inlineStr">
        <is>
          <t>Nested</t>
        </is>
      </c>
    </row>
    <row r="18">
      <c r="A18" s="14" t="n">
        <v>7</v>
      </c>
      <c r="B18" s="14" t="inlineStr">
        <is>
          <t>RH2QRSNB-20</t>
        </is>
      </c>
      <c r="C18" s="14" t="inlineStr">
        <is>
          <t xml:space="preserve">1/2 x 2" RIFT/QTR R/O NESTED  </t>
        </is>
      </c>
      <c r="D18" s="14" t="inlineStr">
        <is>
          <t>1/2"</t>
        </is>
      </c>
      <c r="E18" s="14" t="inlineStr">
        <is>
          <t>2"</t>
        </is>
      </c>
      <c r="F18" s="14" t="inlineStr">
        <is>
          <t>Red Oak</t>
        </is>
      </c>
      <c r="G18" s="14" t="inlineStr">
        <is>
          <t>Rift &amp; Quarter</t>
        </is>
      </c>
      <c r="H18" s="14" t="n"/>
      <c r="I18" s="14" t="inlineStr">
        <is>
          <t>Nested</t>
        </is>
      </c>
    </row>
    <row r="19">
      <c r="A19" s="14" t="n">
        <v>7</v>
      </c>
      <c r="B19" s="14" t="inlineStr">
        <is>
          <t>RH2QRSNB-24</t>
        </is>
      </c>
      <c r="C19" s="14" t="inlineStr">
        <is>
          <t xml:space="preserve">1/2 x 2" RIFT/QTR R/O NESTED  </t>
        </is>
      </c>
      <c r="D19" s="14" t="inlineStr">
        <is>
          <t>1/2"</t>
        </is>
      </c>
      <c r="E19" s="14" t="inlineStr">
        <is>
          <t>2"</t>
        </is>
      </c>
      <c r="F19" s="14" t="inlineStr">
        <is>
          <t>Red Oak</t>
        </is>
      </c>
      <c r="G19" s="14" t="inlineStr">
        <is>
          <t>Rift &amp; Quarter</t>
        </is>
      </c>
      <c r="H19" s="14" t="n"/>
      <c r="I19" s="14" t="inlineStr">
        <is>
          <t>Nested</t>
        </is>
      </c>
    </row>
    <row r="20">
      <c r="A20" s="14" t="n">
        <v>10</v>
      </c>
      <c r="B20" s="14" t="inlineStr">
        <is>
          <t>RH2SOSNB</t>
        </is>
      </c>
      <c r="C20" s="14" t="inlineStr">
        <is>
          <t>1/2 x 2" SELECT W/O NESTED BND</t>
        </is>
      </c>
      <c r="D20" s="14" t="inlineStr">
        <is>
          <t>1/2"</t>
        </is>
      </c>
      <c r="E20" s="14" t="inlineStr">
        <is>
          <t>2"</t>
        </is>
      </c>
      <c r="F20" s="14" t="inlineStr">
        <is>
          <t>White Oak</t>
        </is>
      </c>
      <c r="G20" s="14" t="inlineStr">
        <is>
          <t>Select</t>
        </is>
      </c>
      <c r="H20" s="14" t="n"/>
      <c r="I20" s="14" t="inlineStr">
        <is>
          <t>Nested</t>
        </is>
      </c>
    </row>
    <row r="21">
      <c r="A21" s="14" t="n">
        <v>10</v>
      </c>
      <c r="B21" s="14" t="inlineStr">
        <is>
          <t>RH2SOSNB-20</t>
        </is>
      </c>
      <c r="C21" s="14" t="inlineStr">
        <is>
          <t xml:space="preserve">1/2 x 2" SELECT W/O NESTED    </t>
        </is>
      </c>
      <c r="D21" s="14" t="inlineStr">
        <is>
          <t>1/2"</t>
        </is>
      </c>
      <c r="E21" s="14" t="inlineStr">
        <is>
          <t>2"</t>
        </is>
      </c>
      <c r="F21" s="14" t="inlineStr">
        <is>
          <t>White Oak</t>
        </is>
      </c>
      <c r="G21" s="14" t="inlineStr">
        <is>
          <t>Select</t>
        </is>
      </c>
      <c r="H21" s="14" t="n"/>
      <c r="I21" s="14" t="inlineStr">
        <is>
          <t>Nested</t>
        </is>
      </c>
    </row>
    <row r="22">
      <c r="A22" s="14" t="n">
        <v>10</v>
      </c>
      <c r="B22" s="14" t="inlineStr">
        <is>
          <t>RH2SOSNB-24</t>
        </is>
      </c>
      <c r="C22" s="14" t="inlineStr">
        <is>
          <t>1/2 x 2" SELECT W/O NESTED BND</t>
        </is>
      </c>
      <c r="D22" s="14" t="inlineStr">
        <is>
          <t>1/2"</t>
        </is>
      </c>
      <c r="E22" s="14" t="inlineStr">
        <is>
          <t>2"</t>
        </is>
      </c>
      <c r="F22" s="14" t="inlineStr">
        <is>
          <t>White Oak</t>
        </is>
      </c>
      <c r="G22" s="14" t="inlineStr">
        <is>
          <t>Select</t>
        </is>
      </c>
      <c r="H22" s="14" t="n"/>
      <c r="I22" s="14" t="inlineStr">
        <is>
          <t>Nested</t>
        </is>
      </c>
    </row>
    <row r="23">
      <c r="A23" s="14" t="n">
        <v>8</v>
      </c>
      <c r="B23" s="14" t="inlineStr">
        <is>
          <t>RH2SRS</t>
        </is>
      </c>
      <c r="C23" s="14" t="inlineStr">
        <is>
          <t>1/2 x 2" SELECT R/O NESTED BND</t>
        </is>
      </c>
      <c r="D23" s="14" t="inlineStr">
        <is>
          <t>1/2"</t>
        </is>
      </c>
      <c r="E23" s="14" t="inlineStr">
        <is>
          <t>2"</t>
        </is>
      </c>
      <c r="F23" s="14" t="inlineStr">
        <is>
          <t>Red Oak</t>
        </is>
      </c>
      <c r="G23" s="14" t="inlineStr">
        <is>
          <t>Select</t>
        </is>
      </c>
      <c r="H23" s="14" t="n"/>
      <c r="I23" s="14" t="inlineStr">
        <is>
          <t>Nested</t>
        </is>
      </c>
    </row>
    <row r="24">
      <c r="A24" s="14" t="n">
        <v>8</v>
      </c>
      <c r="B24" s="14" t="inlineStr">
        <is>
          <t>RH2SRSNB</t>
        </is>
      </c>
      <c r="C24" s="14" t="inlineStr">
        <is>
          <t>1/2 x 2" SELECT R/O NESTED BND</t>
        </is>
      </c>
      <c r="D24" s="14" t="inlineStr">
        <is>
          <t>1/2"</t>
        </is>
      </c>
      <c r="E24" s="14" t="inlineStr">
        <is>
          <t>2"</t>
        </is>
      </c>
      <c r="F24" s="14" t="inlineStr">
        <is>
          <t>Red Oak</t>
        </is>
      </c>
      <c r="G24" s="14" t="inlineStr">
        <is>
          <t>Select</t>
        </is>
      </c>
      <c r="H24" s="14" t="n"/>
      <c r="I24" s="14" t="inlineStr">
        <is>
          <t>Nested</t>
        </is>
      </c>
    </row>
    <row r="25">
      <c r="A25" s="14" t="n">
        <v>8</v>
      </c>
      <c r="B25" s="14" t="inlineStr">
        <is>
          <t>RH2SRSNB-20</t>
        </is>
      </c>
      <c r="C25" s="14" t="inlineStr">
        <is>
          <t xml:space="preserve">1/2 x 2" SELECT R/O NESTED    </t>
        </is>
      </c>
      <c r="D25" s="14" t="inlineStr">
        <is>
          <t>1/2"</t>
        </is>
      </c>
      <c r="E25" s="14" t="inlineStr">
        <is>
          <t>2"</t>
        </is>
      </c>
      <c r="F25" s="14" t="inlineStr">
        <is>
          <t>Red Oak</t>
        </is>
      </c>
      <c r="G25" s="14" t="inlineStr">
        <is>
          <t>Select</t>
        </is>
      </c>
      <c r="H25" s="14" t="n"/>
      <c r="I25" s="14" t="inlineStr">
        <is>
          <t>Nested</t>
        </is>
      </c>
    </row>
    <row r="26">
      <c r="A26" s="14" t="n">
        <v>12</v>
      </c>
      <c r="B26" s="14" t="inlineStr">
        <is>
          <t>RQ112SOSNB</t>
        </is>
      </c>
      <c r="C26" s="14" t="inlineStr">
        <is>
          <t>3/4 x 1 1/2" SELECT W/O NESTED</t>
        </is>
      </c>
      <c r="D26" s="14" t="inlineStr">
        <is>
          <t>3/4"</t>
        </is>
      </c>
      <c r="E26" s="14" t="inlineStr">
        <is>
          <t>1-1/2"</t>
        </is>
      </c>
      <c r="F26" s="14" t="inlineStr">
        <is>
          <t>White Oak</t>
        </is>
      </c>
      <c r="G26" s="14" t="inlineStr">
        <is>
          <t>Select</t>
        </is>
      </c>
      <c r="H26" s="14" t="n"/>
      <c r="I26" s="14" t="inlineStr">
        <is>
          <t>Nested</t>
        </is>
      </c>
    </row>
    <row r="27">
      <c r="A27" s="14" t="n">
        <v>11</v>
      </c>
      <c r="B27" s="14" t="inlineStr">
        <is>
          <t>RQ112SRSNB</t>
        </is>
      </c>
      <c r="C27" s="14" t="inlineStr">
        <is>
          <t>3/4 x 1 1/2" SELECT R/O NESTED</t>
        </is>
      </c>
      <c r="D27" s="14" t="inlineStr">
        <is>
          <t>3/4"</t>
        </is>
      </c>
      <c r="E27" s="14" t="inlineStr">
        <is>
          <t>1-1/2"</t>
        </is>
      </c>
      <c r="F27" s="14" t="inlineStr">
        <is>
          <t>Red Oak</t>
        </is>
      </c>
      <c r="G27" s="14" t="inlineStr">
        <is>
          <t>Select</t>
        </is>
      </c>
      <c r="H27" s="14" t="n"/>
      <c r="I27" s="14" t="inlineStr">
        <is>
          <t>Nested</t>
        </is>
      </c>
    </row>
    <row r="28">
      <c r="A28" s="14" t="n">
        <v>13</v>
      </c>
      <c r="B28" s="14" t="inlineStr">
        <is>
          <t>RQ214FMS</t>
        </is>
      </c>
      <c r="C28" s="14" t="inlineStr">
        <is>
          <t>3/4 x 2-1/4 1ST/SEL.MAPLE UNF.</t>
        </is>
      </c>
      <c r="D28" s="14" t="inlineStr">
        <is>
          <t>3/4"</t>
        </is>
      </c>
      <c r="E28" s="14" t="inlineStr">
        <is>
          <t>2-1/4"</t>
        </is>
      </c>
      <c r="F28" s="14" t="inlineStr">
        <is>
          <t>Maple</t>
        </is>
      </c>
      <c r="G28" s="14" t="inlineStr">
        <is>
          <t>1st/Select</t>
        </is>
      </c>
      <c r="H28" s="14" t="n"/>
      <c r="I28" s="14" t="n"/>
    </row>
    <row r="29">
      <c r="A29" s="14" t="n">
        <v>15</v>
      </c>
      <c r="B29" s="14" t="inlineStr">
        <is>
          <t>RQ214QOSSP</t>
        </is>
      </c>
      <c r="C29" s="14" t="inlineStr">
        <is>
          <t>3/4 x 2-1/4" RIFT/QTR WHITE OA</t>
        </is>
      </c>
      <c r="D29" s="14" t="inlineStr">
        <is>
          <t>3/4"</t>
        </is>
      </c>
      <c r="E29" s="14" t="inlineStr">
        <is>
          <t>2-1/4"</t>
        </is>
      </c>
      <c r="F29" s="14" t="inlineStr">
        <is>
          <t>White Oak</t>
        </is>
      </c>
      <c r="G29" s="14" t="inlineStr">
        <is>
          <t>Rift &amp; Quarter</t>
        </is>
      </c>
      <c r="H29" s="14" t="n"/>
      <c r="I29" s="14" t="n"/>
    </row>
    <row r="30">
      <c r="A30" s="14" t="n">
        <v>16</v>
      </c>
      <c r="B30" s="14" t="inlineStr">
        <is>
          <t>RQ214SOSSP</t>
        </is>
      </c>
      <c r="C30" s="14" t="inlineStr">
        <is>
          <t xml:space="preserve">3/4 x 2-1/4 SEL/BTR WHITE OAK </t>
        </is>
      </c>
      <c r="D30" s="14" t="inlineStr">
        <is>
          <t>3/4"</t>
        </is>
      </c>
      <c r="E30" s="14" t="inlineStr">
        <is>
          <t>2-1/4"</t>
        </is>
      </c>
      <c r="F30" s="14" t="inlineStr">
        <is>
          <t>White Oak</t>
        </is>
      </c>
      <c r="G30" s="14" t="inlineStr">
        <is>
          <t>Select &amp; Better</t>
        </is>
      </c>
      <c r="H30" s="14" t="n"/>
      <c r="I30" s="14" t="n"/>
    </row>
    <row r="31">
      <c r="A31" s="14" t="n">
        <v>14</v>
      </c>
      <c r="B31" s="14" t="inlineStr">
        <is>
          <t>RQ214SRSSP</t>
        </is>
      </c>
      <c r="C31" s="14" t="inlineStr">
        <is>
          <t xml:space="preserve">3/4 X 2-1/4 SELECT RED OAK    </t>
        </is>
      </c>
      <c r="D31" s="14" t="inlineStr">
        <is>
          <t>3/4"</t>
        </is>
      </c>
      <c r="E31" s="14" t="inlineStr">
        <is>
          <t>2-1/4"</t>
        </is>
      </c>
      <c r="F31" s="14" t="inlineStr">
        <is>
          <t>Red Oak</t>
        </is>
      </c>
      <c r="G31" s="14" t="inlineStr">
        <is>
          <t>Select</t>
        </is>
      </c>
      <c r="H31" s="14" t="n"/>
      <c r="I31" s="14" t="n"/>
    </row>
    <row r="32">
      <c r="A32" s="14" t="n">
        <v>22</v>
      </c>
      <c r="B32" s="14" t="inlineStr">
        <is>
          <t>RQ314FMS</t>
        </is>
      </c>
      <c r="C32" s="14" t="inlineStr">
        <is>
          <t>3/4 X 3 1/4 1ST/SEL.MAPLE UNF.</t>
        </is>
      </c>
      <c r="D32" s="14" t="inlineStr">
        <is>
          <t>3/4"</t>
        </is>
      </c>
      <c r="E32" s="14" t="inlineStr">
        <is>
          <t>3-1/4"</t>
        </is>
      </c>
      <c r="F32" s="14" t="inlineStr">
        <is>
          <t>Maple</t>
        </is>
      </c>
      <c r="G32" s="14" t="inlineStr">
        <is>
          <t>1st/Select</t>
        </is>
      </c>
      <c r="H32" s="14" t="n"/>
      <c r="I32" s="14" t="n"/>
    </row>
    <row r="33">
      <c r="A33" s="14" t="n">
        <v>24</v>
      </c>
      <c r="B33" s="14" t="inlineStr">
        <is>
          <t>RQ314QOSSP</t>
        </is>
      </c>
      <c r="C33" s="14" t="inlineStr">
        <is>
          <t xml:space="preserve">3/4 X 3 1/4 RIFT/QTR W/O      </t>
        </is>
      </c>
      <c r="D33" s="14" t="inlineStr">
        <is>
          <t>3/4"</t>
        </is>
      </c>
      <c r="E33" s="14" t="inlineStr">
        <is>
          <t>3-1/4"</t>
        </is>
      </c>
      <c r="F33" s="14" t="inlineStr">
        <is>
          <t>White Oak</t>
        </is>
      </c>
      <c r="G33" s="14" t="inlineStr">
        <is>
          <t>Rift &amp; Quarter</t>
        </is>
      </c>
      <c r="H33" s="14" t="n"/>
      <c r="I33" s="14" t="n"/>
    </row>
    <row r="34">
      <c r="A34" s="14" t="n">
        <v>21</v>
      </c>
      <c r="B34" s="14" t="inlineStr">
        <is>
          <t>RQ314SDS</t>
        </is>
      </c>
      <c r="C34" s="14" t="inlineStr">
        <is>
          <t xml:space="preserve">3/4 x 3 1/4 DOUGLAS FIR       </t>
        </is>
      </c>
      <c r="D34" s="14" t="inlineStr">
        <is>
          <t>3/4"</t>
        </is>
      </c>
      <c r="E34" s="14" t="inlineStr">
        <is>
          <t>3-1/4"</t>
        </is>
      </c>
      <c r="F34" s="14" t="inlineStr">
        <is>
          <t>Douglas Fir</t>
        </is>
      </c>
      <c r="G34" s="14" t="n"/>
      <c r="H34" s="14" t="n"/>
      <c r="I34" s="14" t="n"/>
    </row>
    <row r="35">
      <c r="A35" s="14" t="n">
        <v>25</v>
      </c>
      <c r="B35" s="14" t="inlineStr">
        <is>
          <t>RQ314SOSSP</t>
        </is>
      </c>
      <c r="C35" s="14" t="inlineStr">
        <is>
          <t xml:space="preserve">3/4 x 3-1/4 SEL/BTR WHITE OAK </t>
        </is>
      </c>
      <c r="D35" s="14" t="inlineStr">
        <is>
          <t>3/4"</t>
        </is>
      </c>
      <c r="E35" s="14" t="inlineStr">
        <is>
          <t>3-1/4"</t>
        </is>
      </c>
      <c r="F35" s="14" t="inlineStr">
        <is>
          <t>White Oak</t>
        </is>
      </c>
      <c r="G35" s="14" t="inlineStr">
        <is>
          <t>Select &amp; Better</t>
        </is>
      </c>
      <c r="H35" s="14" t="n"/>
      <c r="I35" s="14" t="n"/>
    </row>
    <row r="36">
      <c r="A36" s="14" t="n">
        <v>23</v>
      </c>
      <c r="B36" s="14" t="inlineStr">
        <is>
          <t>RQ314SRSSP</t>
        </is>
      </c>
      <c r="C36" s="14" t="inlineStr">
        <is>
          <t xml:space="preserve">3/4 x 3-1/4 SEL/BTR RED OAK   </t>
        </is>
      </c>
      <c r="D36" s="14" t="inlineStr">
        <is>
          <t>3/4"</t>
        </is>
      </c>
      <c r="E36" s="14" t="inlineStr">
        <is>
          <t>3-1/4"</t>
        </is>
      </c>
      <c r="F36" s="14" t="inlineStr">
        <is>
          <t>Red Oak</t>
        </is>
      </c>
      <c r="G36" s="14" t="inlineStr">
        <is>
          <t>Select &amp; Better</t>
        </is>
      </c>
      <c r="H36" s="14" t="n"/>
      <c r="I36" s="14" t="n"/>
    </row>
    <row r="37">
      <c r="A37" s="14" t="n">
        <v>20</v>
      </c>
      <c r="B37" s="14" t="inlineStr">
        <is>
          <t>RQ3SOB</t>
        </is>
      </c>
      <c r="C37" s="14" t="inlineStr">
        <is>
          <t xml:space="preserve">3/4 x 3 W/O BEVEL EDGE        </t>
        </is>
      </c>
      <c r="D37" s="14" t="inlineStr">
        <is>
          <t>3/4"</t>
        </is>
      </c>
      <c r="E37" s="14" t="inlineStr">
        <is>
          <t>3"</t>
        </is>
      </c>
      <c r="F37" s="14" t="inlineStr">
        <is>
          <t>White Oak</t>
        </is>
      </c>
      <c r="G37" s="14" t="n"/>
      <c r="H37" s="14" t="inlineStr">
        <is>
          <t>Bevel</t>
        </is>
      </c>
      <c r="I37" s="14" t="n"/>
    </row>
    <row r="38">
      <c r="A38" s="14" t="n">
        <v>19</v>
      </c>
      <c r="B38" s="14" t="inlineStr">
        <is>
          <t>RQ3SOS</t>
        </is>
      </c>
      <c r="C38" s="14" t="inlineStr">
        <is>
          <t xml:space="preserve">3/4 x 3 W/O SEL SQUARE EDGE   </t>
        </is>
      </c>
      <c r="D38" s="14" t="inlineStr">
        <is>
          <t>3/4"</t>
        </is>
      </c>
      <c r="E38" s="14" t="inlineStr">
        <is>
          <t>3"</t>
        </is>
      </c>
      <c r="F38" s="14" t="inlineStr">
        <is>
          <t>White Oak</t>
        </is>
      </c>
      <c r="G38" s="14" t="inlineStr">
        <is>
          <t>Select</t>
        </is>
      </c>
      <c r="H38" s="14" t="inlineStr">
        <is>
          <t>Square</t>
        </is>
      </c>
      <c r="I38" s="14" t="n"/>
    </row>
    <row r="39">
      <c r="A39" s="14" t="n">
        <v>17</v>
      </c>
      <c r="B39" s="14" t="inlineStr">
        <is>
          <t>RQ3SRB</t>
        </is>
      </c>
      <c r="C39" s="14" t="inlineStr">
        <is>
          <t xml:space="preserve">3/4 x 3 R/O BEVEL EDGE        </t>
        </is>
      </c>
      <c r="D39" s="14" t="inlineStr">
        <is>
          <t>3/4"</t>
        </is>
      </c>
      <c r="E39" s="14" t="inlineStr">
        <is>
          <t>3"</t>
        </is>
      </c>
      <c r="F39" s="14" t="inlineStr">
        <is>
          <t>Red Oak</t>
        </is>
      </c>
      <c r="G39" s="14" t="n"/>
      <c r="H39" s="14" t="inlineStr">
        <is>
          <t>Bevel</t>
        </is>
      </c>
      <c r="I39" s="14" t="n"/>
    </row>
    <row r="40">
      <c r="A40" s="14" t="n">
        <v>18</v>
      </c>
      <c r="B40" s="14" t="inlineStr">
        <is>
          <t>RQ3SRS</t>
        </is>
      </c>
      <c r="C40" s="14" t="inlineStr">
        <is>
          <t xml:space="preserve">3/4 x 3 R/O SQUARE EDGE       </t>
        </is>
      </c>
      <c r="D40" s="14" t="inlineStr">
        <is>
          <t>3/4"</t>
        </is>
      </c>
      <c r="E40" s="14" t="inlineStr">
        <is>
          <t>3"</t>
        </is>
      </c>
      <c r="F40" s="14" t="inlineStr">
        <is>
          <t>Red Oak</t>
        </is>
      </c>
      <c r="G40" s="14" t="n"/>
      <c r="H40" s="14" t="inlineStr">
        <is>
          <t>Square</t>
        </is>
      </c>
      <c r="I40" s="14" t="n"/>
    </row>
    <row r="41">
      <c r="A41" s="14" t="n">
        <v>28</v>
      </c>
      <c r="B41" s="14" t="inlineStr">
        <is>
          <t>RQ4SOB</t>
        </is>
      </c>
      <c r="C41" s="14" t="inlineStr">
        <is>
          <t xml:space="preserve">3/4 x 4 W/O BEVEL EDGE        </t>
        </is>
      </c>
      <c r="D41" s="14" t="inlineStr">
        <is>
          <t>3/4"</t>
        </is>
      </c>
      <c r="E41" s="14" t="inlineStr">
        <is>
          <t>4"</t>
        </is>
      </c>
      <c r="F41" s="14" t="inlineStr">
        <is>
          <t>White Oak</t>
        </is>
      </c>
      <c r="G41" s="14" t="n"/>
      <c r="H41" s="14" t="inlineStr">
        <is>
          <t>Bevel</t>
        </is>
      </c>
      <c r="I41" s="14" t="n"/>
    </row>
    <row r="42">
      <c r="A42" s="14" t="n">
        <v>29</v>
      </c>
      <c r="B42" s="14" t="inlineStr">
        <is>
          <t>RQ4SOS</t>
        </is>
      </c>
      <c r="C42" s="14" t="inlineStr">
        <is>
          <t xml:space="preserve">3/4 x 4 W/O SQUARE EDGE       </t>
        </is>
      </c>
      <c r="D42" s="14" t="inlineStr">
        <is>
          <t>3/4"</t>
        </is>
      </c>
      <c r="E42" s="14" t="inlineStr">
        <is>
          <t>4"</t>
        </is>
      </c>
      <c r="F42" s="14" t="inlineStr">
        <is>
          <t>White Oak</t>
        </is>
      </c>
      <c r="G42" s="14" t="n"/>
      <c r="H42" s="14" t="inlineStr">
        <is>
          <t>Square</t>
        </is>
      </c>
      <c r="I42" s="14" t="n"/>
    </row>
    <row r="43">
      <c r="A43" s="14" t="n">
        <v>26</v>
      </c>
      <c r="B43" s="14" t="inlineStr">
        <is>
          <t>RQ4SRB</t>
        </is>
      </c>
      <c r="C43" s="14" t="inlineStr">
        <is>
          <t xml:space="preserve">3/4 x 4 R/O BEVEL EDGE        </t>
        </is>
      </c>
      <c r="D43" s="14" t="inlineStr">
        <is>
          <t>3/4"</t>
        </is>
      </c>
      <c r="E43" s="14" t="inlineStr">
        <is>
          <t>4"</t>
        </is>
      </c>
      <c r="F43" s="14" t="inlineStr">
        <is>
          <t>Red Oak</t>
        </is>
      </c>
      <c r="G43" s="14" t="n"/>
      <c r="H43" s="14" t="inlineStr">
        <is>
          <t>Bevel</t>
        </is>
      </c>
      <c r="I43" s="14" t="n"/>
    </row>
    <row r="44">
      <c r="A44" s="14" t="n">
        <v>27</v>
      </c>
      <c r="B44" s="14" t="inlineStr">
        <is>
          <t>RQ4SRS</t>
        </is>
      </c>
      <c r="C44" s="14" t="inlineStr">
        <is>
          <t xml:space="preserve">3/4 x 4 R/O SQUARE EDGE       </t>
        </is>
      </c>
      <c r="D44" s="14" t="inlineStr">
        <is>
          <t>3/4"</t>
        </is>
      </c>
      <c r="E44" s="14" t="inlineStr">
        <is>
          <t>4"</t>
        </is>
      </c>
      <c r="F44" s="14" t="inlineStr">
        <is>
          <t>Red Oak</t>
        </is>
      </c>
      <c r="G44" s="14" t="n"/>
      <c r="H44" s="14" t="inlineStr">
        <is>
          <t>Square</t>
        </is>
      </c>
      <c r="I44" s="14" t="n"/>
    </row>
    <row r="45">
      <c r="A45" s="14" t="n">
        <v>30</v>
      </c>
      <c r="B45" s="14" t="inlineStr">
        <is>
          <t>RQ5FMS</t>
        </is>
      </c>
      <c r="C45" s="14" t="inlineStr">
        <is>
          <t xml:space="preserve">3/4 X 5 1ST MAPLE SE RL EM    </t>
        </is>
      </c>
      <c r="D45" s="14" t="inlineStr">
        <is>
          <t>3/4"</t>
        </is>
      </c>
      <c r="E45" s="14" t="inlineStr">
        <is>
          <t>5"</t>
        </is>
      </c>
      <c r="F45" s="14" t="inlineStr">
        <is>
          <t>Maple</t>
        </is>
      </c>
      <c r="G45" s="14" t="inlineStr">
        <is>
          <t>1st</t>
        </is>
      </c>
      <c r="H45" s="14" t="inlineStr">
        <is>
          <t>Square</t>
        </is>
      </c>
      <c r="I45" s="14" t="n"/>
    </row>
    <row r="46">
      <c r="A46" s="14" t="n">
        <v>36</v>
      </c>
      <c r="B46" s="14" t="inlineStr">
        <is>
          <t>RQ5SOB</t>
        </is>
      </c>
      <c r="C46" s="14" t="inlineStr">
        <is>
          <t xml:space="preserve">3/4 x 5 W/O BEVEL EDGE        </t>
        </is>
      </c>
      <c r="D46" s="14" t="inlineStr">
        <is>
          <t>3/4"</t>
        </is>
      </c>
      <c r="E46" s="14" t="inlineStr">
        <is>
          <t>5"</t>
        </is>
      </c>
      <c r="F46" s="14" t="inlineStr">
        <is>
          <t>White Oak</t>
        </is>
      </c>
      <c r="G46" s="14" t="n"/>
      <c r="H46" s="14" t="inlineStr">
        <is>
          <t>Bevel</t>
        </is>
      </c>
      <c r="I46" s="14" t="n"/>
    </row>
    <row r="47">
      <c r="A47" s="14" t="n">
        <v>35</v>
      </c>
      <c r="B47" s="14" t="inlineStr">
        <is>
          <t>RQ5SOS</t>
        </is>
      </c>
      <c r="C47" s="14" t="inlineStr">
        <is>
          <t xml:space="preserve">3/4 x 5 W/O SEL SQUARE EDGE   </t>
        </is>
      </c>
      <c r="D47" s="14" t="inlineStr">
        <is>
          <t>3/4"</t>
        </is>
      </c>
      <c r="E47" s="14" t="inlineStr">
        <is>
          <t>5"</t>
        </is>
      </c>
      <c r="F47" s="14" t="inlineStr">
        <is>
          <t>White Oak</t>
        </is>
      </c>
      <c r="G47" s="14" t="inlineStr">
        <is>
          <t>Select</t>
        </is>
      </c>
      <c r="H47" s="14" t="inlineStr">
        <is>
          <t>Square</t>
        </is>
      </c>
      <c r="I47" s="14" t="n"/>
    </row>
    <row r="48">
      <c r="A48" s="14" t="n">
        <v>35</v>
      </c>
      <c r="B48" s="14" t="inlineStr">
        <is>
          <t>RQ5SOSD</t>
        </is>
      </c>
      <c r="C48" s="14" t="inlineStr">
        <is>
          <t xml:space="preserve">3/4 x 5 W/O SEL SQUARE EDGE   </t>
        </is>
      </c>
      <c r="D48" s="14" t="inlineStr">
        <is>
          <t>3/4"</t>
        </is>
      </c>
      <c r="E48" s="14" t="inlineStr">
        <is>
          <t>5"</t>
        </is>
      </c>
      <c r="F48" s="14" t="inlineStr">
        <is>
          <t>White Oak</t>
        </is>
      </c>
      <c r="G48" s="14" t="inlineStr">
        <is>
          <t>Select</t>
        </is>
      </c>
      <c r="H48" s="14" t="inlineStr">
        <is>
          <t>Square</t>
        </is>
      </c>
      <c r="I48" s="14" t="n"/>
    </row>
    <row r="49">
      <c r="A49" s="14" t="n">
        <v>31</v>
      </c>
      <c r="B49" s="14" t="inlineStr">
        <is>
          <t>RQ5SRB</t>
        </is>
      </c>
      <c r="C49" s="14" t="inlineStr">
        <is>
          <t xml:space="preserve">3/4 x 5 R/O BEVEL EDGE        </t>
        </is>
      </c>
      <c r="D49" s="14" t="inlineStr">
        <is>
          <t>3/4"</t>
        </is>
      </c>
      <c r="E49" s="14" t="inlineStr">
        <is>
          <t>5"</t>
        </is>
      </c>
      <c r="F49" s="14" t="inlineStr">
        <is>
          <t>Red Oak</t>
        </is>
      </c>
      <c r="G49" s="14" t="n"/>
      <c r="H49" s="14" t="inlineStr">
        <is>
          <t>Bevel</t>
        </is>
      </c>
      <c r="I49" s="14" t="n"/>
    </row>
    <row r="50">
      <c r="A50" s="14" t="n">
        <v>32</v>
      </c>
      <c r="B50" s="14" t="inlineStr">
        <is>
          <t>RQ5SRS</t>
        </is>
      </c>
      <c r="C50" s="14" t="inlineStr">
        <is>
          <t xml:space="preserve">3/4 x 5 R/O SQUARE EDGE       </t>
        </is>
      </c>
      <c r="D50" s="14" t="inlineStr">
        <is>
          <t>3/4"</t>
        </is>
      </c>
      <c r="E50" s="14" t="inlineStr">
        <is>
          <t>5"</t>
        </is>
      </c>
      <c r="F50" s="14" t="inlineStr">
        <is>
          <t>Red Oak</t>
        </is>
      </c>
      <c r="G50" s="14" t="n"/>
      <c r="H50" s="14" t="inlineStr">
        <is>
          <t>Square</t>
        </is>
      </c>
      <c r="I50" s="14" t="n"/>
    </row>
    <row r="51">
      <c r="A51" s="14" t="n">
        <v>32</v>
      </c>
      <c r="B51" s="14" t="inlineStr">
        <is>
          <t>RQ5SRSI</t>
        </is>
      </c>
      <c r="C51" s="14" t="inlineStr">
        <is>
          <t xml:space="preserve">3/4 x 5 R/O SQUARE EDGE       </t>
        </is>
      </c>
      <c r="D51" s="14" t="inlineStr">
        <is>
          <t>3/4"</t>
        </is>
      </c>
      <c r="E51" s="14" t="inlineStr">
        <is>
          <t>5"</t>
        </is>
      </c>
      <c r="F51" s="14" t="inlineStr">
        <is>
          <t>Red Oak</t>
        </is>
      </c>
      <c r="G51" s="14" t="n"/>
      <c r="H51" s="14" t="inlineStr">
        <is>
          <t>Square</t>
        </is>
      </c>
      <c r="I51" s="14" t="n"/>
    </row>
    <row r="52">
      <c r="A52" s="14" t="n">
        <v>33</v>
      </c>
      <c r="B52" s="14" t="inlineStr">
        <is>
          <t>RQ5SWS</t>
        </is>
      </c>
      <c r="C52" s="14" t="inlineStr">
        <is>
          <t>3/4 X 5 SEL/BTR WALNUT S.E. RL</t>
        </is>
      </c>
      <c r="D52" s="14" t="inlineStr">
        <is>
          <t>3/4"</t>
        </is>
      </c>
      <c r="E52" s="14" t="inlineStr">
        <is>
          <t>5"</t>
        </is>
      </c>
      <c r="F52" s="14" t="inlineStr">
        <is>
          <t>Walnut</t>
        </is>
      </c>
      <c r="G52" s="14" t="inlineStr">
        <is>
          <t>Select &amp; Better</t>
        </is>
      </c>
      <c r="H52" s="14" t="inlineStr">
        <is>
          <t>Square</t>
        </is>
      </c>
      <c r="I52" s="14" t="n"/>
    </row>
    <row r="53">
      <c r="A53" s="14" t="n">
        <v>34</v>
      </c>
      <c r="B53" s="14" t="inlineStr">
        <is>
          <t>RQ5SWS</t>
        </is>
      </c>
      <c r="C53" s="14" t="inlineStr">
        <is>
          <t>3/4 X 5 SEL/BTR WALNUT S.E. RL</t>
        </is>
      </c>
      <c r="D53" s="14" t="inlineStr">
        <is>
          <t>3/4"</t>
        </is>
      </c>
      <c r="E53" s="14" t="inlineStr">
        <is>
          <t>5"</t>
        </is>
      </c>
      <c r="F53" s="14" t="inlineStr">
        <is>
          <t>Walnut</t>
        </is>
      </c>
      <c r="G53" s="14" t="inlineStr">
        <is>
          <t>Select &amp; Better</t>
        </is>
      </c>
      <c r="H53" s="14" t="inlineStr">
        <is>
          <t>Square</t>
        </is>
      </c>
      <c r="I53" s="14" t="n"/>
    </row>
    <row r="54">
      <c r="A54" s="14" t="n">
        <v>39</v>
      </c>
      <c r="B54" s="14" t="inlineStr">
        <is>
          <t>RQ6SOB</t>
        </is>
      </c>
      <c r="C54" s="14" t="inlineStr">
        <is>
          <t xml:space="preserve">3/4 x 6 W/O BEVEL EDGE        </t>
        </is>
      </c>
      <c r="D54" s="14" t="inlineStr">
        <is>
          <t>3/4"</t>
        </is>
      </c>
      <c r="E54" s="14" t="inlineStr">
        <is>
          <t>6"</t>
        </is>
      </c>
      <c r="F54" s="14" t="inlineStr">
        <is>
          <t>White Oak</t>
        </is>
      </c>
      <c r="G54" s="14" t="n"/>
      <c r="H54" s="14" t="inlineStr">
        <is>
          <t>Bevel</t>
        </is>
      </c>
      <c r="I54" s="14" t="n"/>
    </row>
    <row r="55">
      <c r="A55" s="14" t="n">
        <v>40</v>
      </c>
      <c r="B55" s="14" t="inlineStr">
        <is>
          <t>RQ6SOS</t>
        </is>
      </c>
      <c r="C55" s="14" t="inlineStr">
        <is>
          <t xml:space="preserve">3/4 x 6 W/O SQUARE EDGE       </t>
        </is>
      </c>
      <c r="D55" s="14" t="inlineStr">
        <is>
          <t>3/4"</t>
        </is>
      </c>
      <c r="E55" s="14" t="inlineStr">
        <is>
          <t>6"</t>
        </is>
      </c>
      <c r="F55" s="14" t="inlineStr">
        <is>
          <t>White Oak</t>
        </is>
      </c>
      <c r="G55" s="14" t="n"/>
      <c r="H55" s="14" t="inlineStr">
        <is>
          <t>Square</t>
        </is>
      </c>
      <c r="I55" s="14" t="n"/>
    </row>
    <row r="56">
      <c r="A56" s="14" t="n">
        <v>37</v>
      </c>
      <c r="B56" s="14" t="inlineStr">
        <is>
          <t>RQ6SRB</t>
        </is>
      </c>
      <c r="C56" s="14" t="inlineStr">
        <is>
          <t xml:space="preserve">3/4 x 6 R/O BEVEL EDGE        </t>
        </is>
      </c>
      <c r="D56" s="14" t="inlineStr">
        <is>
          <t>3/4"</t>
        </is>
      </c>
      <c r="E56" s="14" t="inlineStr">
        <is>
          <t>6"</t>
        </is>
      </c>
      <c r="F56" s="14" t="inlineStr">
        <is>
          <t>Red Oak</t>
        </is>
      </c>
      <c r="G56" s="14" t="n"/>
      <c r="H56" s="14" t="inlineStr">
        <is>
          <t>Bevel</t>
        </is>
      </c>
      <c r="I56" s="14" t="n"/>
    </row>
    <row r="57">
      <c r="A57" s="14" t="n">
        <v>38</v>
      </c>
      <c r="B57" s="14" t="inlineStr">
        <is>
          <t>RQ6SRS</t>
        </is>
      </c>
      <c r="C57" s="14" t="inlineStr">
        <is>
          <t xml:space="preserve">3/4 x 6 R/O SQUARE EDGE       </t>
        </is>
      </c>
      <c r="D57" s="14" t="inlineStr">
        <is>
          <t>3/4"</t>
        </is>
      </c>
      <c r="E57" s="14" t="inlineStr">
        <is>
          <t>6"</t>
        </is>
      </c>
      <c r="F57" s="14" t="inlineStr">
        <is>
          <t>Red Oak</t>
        </is>
      </c>
      <c r="G57" s="14" t="n"/>
      <c r="H57" s="14" t="inlineStr">
        <is>
          <t>Square</t>
        </is>
      </c>
      <c r="I57" s="14" t="n"/>
    </row>
    <row r="58">
      <c r="A58" s="14" t="n">
        <v>43</v>
      </c>
      <c r="B58" s="14" t="inlineStr">
        <is>
          <t>RQ7SOB</t>
        </is>
      </c>
      <c r="C58" s="14" t="inlineStr">
        <is>
          <t xml:space="preserve">3/4 x 7 W/O BEVEL EDGE        </t>
        </is>
      </c>
      <c r="D58" s="14" t="inlineStr">
        <is>
          <t>3/4"</t>
        </is>
      </c>
      <c r="E58" s="14" t="inlineStr">
        <is>
          <t>7"</t>
        </is>
      </c>
      <c r="F58" s="14" t="inlineStr">
        <is>
          <t>White Oak</t>
        </is>
      </c>
      <c r="G58" s="14" t="n"/>
      <c r="H58" s="14" t="inlineStr">
        <is>
          <t>Bevel</t>
        </is>
      </c>
      <c r="I58" s="14" t="n"/>
    </row>
    <row r="59">
      <c r="A59" s="14" t="n">
        <v>44</v>
      </c>
      <c r="B59" s="14" t="inlineStr">
        <is>
          <t>RQ7SOS</t>
        </is>
      </c>
      <c r="C59" s="14" t="inlineStr">
        <is>
          <t xml:space="preserve">3/4 x 7 W/O SQUARE EDGE       </t>
        </is>
      </c>
      <c r="D59" s="14" t="inlineStr">
        <is>
          <t>3/4"</t>
        </is>
      </c>
      <c r="E59" s="14" t="inlineStr">
        <is>
          <t>7"</t>
        </is>
      </c>
      <c r="F59" s="14" t="inlineStr">
        <is>
          <t>White Oak</t>
        </is>
      </c>
      <c r="G59" s="14" t="n"/>
      <c r="H59" s="14" t="inlineStr">
        <is>
          <t>Square</t>
        </is>
      </c>
      <c r="I59" s="14" t="n"/>
    </row>
    <row r="60">
      <c r="A60" s="14" t="n">
        <v>41</v>
      </c>
      <c r="B60" s="14" t="inlineStr">
        <is>
          <t>RQ7SRB</t>
        </is>
      </c>
      <c r="C60" s="14" t="inlineStr">
        <is>
          <t xml:space="preserve">3/4 x 7 R/O BEVEL EDGE        </t>
        </is>
      </c>
      <c r="D60" s="14" t="inlineStr">
        <is>
          <t>3/4"</t>
        </is>
      </c>
      <c r="E60" s="14" t="inlineStr">
        <is>
          <t>7"</t>
        </is>
      </c>
      <c r="F60" s="14" t="inlineStr">
        <is>
          <t>Red Oak</t>
        </is>
      </c>
      <c r="G60" s="14" t="n"/>
      <c r="H60" s="14" t="inlineStr">
        <is>
          <t>Bevel</t>
        </is>
      </c>
      <c r="I60" s="14" t="n"/>
    </row>
    <row r="61">
      <c r="A61" s="14" t="n">
        <v>42</v>
      </c>
      <c r="B61" s="14" t="inlineStr">
        <is>
          <t>RQ7SRS</t>
        </is>
      </c>
      <c r="C61" s="14" t="inlineStr">
        <is>
          <t xml:space="preserve">3/4 X 7 R/O SQUARE EDGE       </t>
        </is>
      </c>
      <c r="D61" s="14" t="inlineStr">
        <is>
          <t>3/4"</t>
        </is>
      </c>
      <c r="E61" s="14" t="inlineStr">
        <is>
          <t>7"</t>
        </is>
      </c>
      <c r="F61" s="14" t="inlineStr">
        <is>
          <t>Red Oak</t>
        </is>
      </c>
      <c r="G61" s="14" t="n"/>
      <c r="H61" s="14" t="inlineStr">
        <is>
          <t>Square</t>
        </is>
      </c>
      <c r="I61" s="14" t="n"/>
    </row>
    <row r="62">
      <c r="A62" s="14" t="n">
        <v>46</v>
      </c>
      <c r="B62" s="14" t="inlineStr">
        <is>
          <t>RT112SOS</t>
        </is>
      </c>
      <c r="C62" s="14" t="inlineStr">
        <is>
          <t xml:space="preserve">3/8 x 1-1/2" SELECT W/O BF    </t>
        </is>
      </c>
      <c r="D62" s="14" t="inlineStr">
        <is>
          <t>3/8"</t>
        </is>
      </c>
      <c r="E62" s="14" t="inlineStr">
        <is>
          <t>1-1/2"</t>
        </is>
      </c>
      <c r="F62" s="14" t="inlineStr">
        <is>
          <t>White Oak</t>
        </is>
      </c>
      <c r="G62" s="14" t="inlineStr">
        <is>
          <t>Select</t>
        </is>
      </c>
      <c r="H62" s="14" t="n"/>
      <c r="I62" s="14" t="n"/>
    </row>
    <row r="63">
      <c r="A63" s="14" t="n">
        <v>45</v>
      </c>
      <c r="B63" s="14" t="inlineStr">
        <is>
          <t>RT112SRS</t>
        </is>
      </c>
      <c r="C63" s="14" t="inlineStr">
        <is>
          <t xml:space="preserve">3/8 x 1-1/2" SELECT R/O BF    </t>
        </is>
      </c>
      <c r="D63" s="14" t="inlineStr">
        <is>
          <t>3/8"</t>
        </is>
      </c>
      <c r="E63" s="14" t="inlineStr">
        <is>
          <t>1-1/2"</t>
        </is>
      </c>
      <c r="F63" s="14" t="inlineStr">
        <is>
          <t>Red Oak</t>
        </is>
      </c>
      <c r="G63" s="14" t="inlineStr">
        <is>
          <t>Select</t>
        </is>
      </c>
      <c r="H63" s="14" t="n"/>
      <c r="I63" s="14" t="n"/>
    </row>
    <row r="64">
      <c r="A64" s="14" t="n">
        <v>48</v>
      </c>
      <c r="B64" s="14" t="inlineStr">
        <is>
          <t>RT2SOSNB-24</t>
        </is>
      </c>
      <c r="C64" s="14" t="inlineStr">
        <is>
          <t>3/8 x 2" SEL W/O NESTED (24-SF</t>
        </is>
      </c>
      <c r="D64" s="14" t="inlineStr">
        <is>
          <t>3/8"</t>
        </is>
      </c>
      <c r="E64" s="14" t="inlineStr">
        <is>
          <t>2"</t>
        </is>
      </c>
      <c r="F64" s="14" t="inlineStr">
        <is>
          <t>White Oak</t>
        </is>
      </c>
      <c r="G64" s="14" t="inlineStr">
        <is>
          <t>Select</t>
        </is>
      </c>
      <c r="H64" s="14" t="n"/>
      <c r="I64" s="14" t="inlineStr">
        <is>
          <t>Nested</t>
        </is>
      </c>
    </row>
    <row r="65">
      <c r="A65" s="14" t="n">
        <v>47</v>
      </c>
      <c r="B65" s="14" t="inlineStr">
        <is>
          <t>RT2SRSNB-24</t>
        </is>
      </c>
      <c r="C65" s="14" t="inlineStr">
        <is>
          <t>3/8 x 2" SEL R/O NESTED (24-SF</t>
        </is>
      </c>
      <c r="D65" s="14" t="inlineStr">
        <is>
          <t>3/8"</t>
        </is>
      </c>
      <c r="E65" s="14" t="inlineStr">
        <is>
          <t>2"</t>
        </is>
      </c>
      <c r="F65" s="14" t="inlineStr">
        <is>
          <t>Red Oak</t>
        </is>
      </c>
      <c r="G65" s="14" t="inlineStr">
        <is>
          <t>Select</t>
        </is>
      </c>
      <c r="H65" s="14" t="n"/>
      <c r="I65" s="14" t="inlineStr">
        <is>
          <t>Nested</t>
        </is>
      </c>
    </row>
  </sheetData>
  <autoFilter ref="A1:I65">
    <sortState ref="A2:I65">
      <sortCondition ref="B1:B65"/>
    </sortState>
  </autoFilter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tabSelected="1" workbookViewId="0">
      <selection activeCell="G57" sqref="G57"/>
    </sheetView>
  </sheetViews>
  <sheetFormatPr baseColWidth="8" defaultRowHeight="15"/>
  <cols>
    <col width="15.7109375" bestFit="1" customWidth="1" min="1" max="1"/>
    <col width="13.28515625" bestFit="1" customWidth="1" style="17" min="2" max="2"/>
    <col width="10.28515625" bestFit="1" customWidth="1" style="17" min="3" max="3"/>
    <col width="12.140625" bestFit="1" customWidth="1" style="17" min="4" max="4"/>
    <col width="15.85546875" bestFit="1" customWidth="1" style="17" min="5" max="5"/>
    <col width="9" bestFit="1" customWidth="1" style="17" min="6" max="6"/>
    <col width="24.5703125" customWidth="1" min="7" max="7"/>
    <col width="36.140625" customWidth="1" min="8" max="8"/>
  </cols>
  <sheetData>
    <row r="1">
      <c r="A1" s="18" t="inlineStr">
        <is>
          <t>Item Number</t>
        </is>
      </c>
      <c r="B1" s="19" t="inlineStr">
        <is>
          <t>Thickness</t>
        </is>
      </c>
      <c r="C1" s="19" t="inlineStr">
        <is>
          <t>Width</t>
        </is>
      </c>
      <c r="D1" s="19" t="inlineStr">
        <is>
          <t>Species</t>
        </is>
      </c>
      <c r="E1" s="19" t="inlineStr">
        <is>
          <t>Grade/Cut</t>
        </is>
      </c>
      <c r="F1" s="19" t="inlineStr">
        <is>
          <t>Edge</t>
        </is>
      </c>
      <c r="G1" s="18" t="inlineStr">
        <is>
          <t>Reorder Amount</t>
        </is>
      </c>
      <c r="H1" s="18" t="inlineStr">
        <is>
          <t>Amount in Stock/Additional Info</t>
        </is>
      </c>
    </row>
    <row r="2">
      <c r="A2" s="20" t="inlineStr">
        <is>
          <t>DF512PI</t>
        </is>
      </c>
      <c r="B2" s="16">
        <f>VLOOKUP(A2,'Strip SKU Combination'!$B$2:$H$65,3,FALSE)</f>
        <v/>
      </c>
      <c r="C2" s="16">
        <f>VLOOKUP(A2,'Strip SKU Combination'!$B$2:$H$65,4,FALSE)</f>
        <v/>
      </c>
      <c r="D2" s="16">
        <f>VLOOKUP(A2,'Strip SKU Combination'!$B$2:$H$65,5,FALSE)</f>
        <v/>
      </c>
      <c r="E2" s="16">
        <f>VLOOKUP(A2,'Strip SKU Combination'!$B$2:$H$65,6,FALSE)</f>
        <v/>
      </c>
      <c r="F2" s="16">
        <f>VLOOKUP(A2,'Strip SKU Combination'!$B$2:$H$65,7,FALSE)</f>
        <v/>
      </c>
      <c r="G2" s="20" t="n"/>
      <c r="H2" s="6" t="n"/>
    </row>
    <row r="3">
      <c r="A3" s="20" t="inlineStr">
        <is>
          <t>DF512PIL</t>
        </is>
      </c>
      <c r="B3" s="16">
        <f>VLOOKUP(A3,'Strip SKU Combination'!$B$2:$H$65,3,FALSE)</f>
        <v/>
      </c>
      <c r="C3" s="16">
        <f>VLOOKUP(A3,'Strip SKU Combination'!$B$2:$H$65,4,FALSE)</f>
        <v/>
      </c>
      <c r="D3" s="16">
        <f>VLOOKUP(A3,'Strip SKU Combination'!$B$2:$H$65,5,FALSE)</f>
        <v/>
      </c>
      <c r="E3" s="16">
        <f>VLOOKUP(A3,'Strip SKU Combination'!$B$2:$H$65,6,FALSE)</f>
        <v/>
      </c>
      <c r="F3" s="16">
        <f>VLOOKUP(A3,'Strip SKU Combination'!$B$2:$H$65,7,FALSE)</f>
        <v/>
      </c>
      <c r="G3" s="20" t="n"/>
      <c r="H3" s="6" t="n"/>
    </row>
    <row r="4">
      <c r="A4" s="20" t="inlineStr">
        <is>
          <t>RH112QRSNB-15</t>
        </is>
      </c>
      <c r="B4" s="16">
        <f>VLOOKUP(A4,'Strip SKU Combination'!$B$2:$H$65,3,FALSE)</f>
        <v/>
      </c>
      <c r="C4" s="16">
        <f>VLOOKUP(A4,'Strip SKU Combination'!$B$2:$H$65,4,FALSE)</f>
        <v/>
      </c>
      <c r="D4" s="16">
        <f>VLOOKUP(A4,'Strip SKU Combination'!$B$2:$H$65,5,FALSE)</f>
        <v/>
      </c>
      <c r="E4" s="16">
        <f>VLOOKUP(A4,'Strip SKU Combination'!$B$2:$H$65,6,FALSE)</f>
        <v/>
      </c>
      <c r="F4" s="16">
        <f>VLOOKUP(A4,'Strip SKU Combination'!$B$2:$H$65,7,FALSE)</f>
        <v/>
      </c>
      <c r="G4" s="20" t="n"/>
      <c r="H4" s="6" t="n"/>
    </row>
    <row r="5">
      <c r="A5" s="20" t="inlineStr">
        <is>
          <t>RH112QRSNB-24</t>
        </is>
      </c>
      <c r="B5" s="16">
        <f>VLOOKUP(A5,'Strip SKU Combination'!$B$2:$H$65,3,FALSE)</f>
        <v/>
      </c>
      <c r="C5" s="16">
        <f>VLOOKUP(A5,'Strip SKU Combination'!$B$2:$H$65,4,FALSE)</f>
        <v/>
      </c>
      <c r="D5" s="16">
        <f>VLOOKUP(A5,'Strip SKU Combination'!$B$2:$H$65,5,FALSE)</f>
        <v/>
      </c>
      <c r="E5" s="16">
        <f>VLOOKUP(A5,'Strip SKU Combination'!$B$2:$H$65,6,FALSE)</f>
        <v/>
      </c>
      <c r="F5" s="16">
        <f>VLOOKUP(A5,'Strip SKU Combination'!$B$2:$H$65,7,FALSE)</f>
        <v/>
      </c>
      <c r="G5" s="20" t="n"/>
      <c r="H5" s="6" t="n"/>
    </row>
    <row r="6">
      <c r="A6" s="20" t="inlineStr">
        <is>
          <t>RH112SRSNB</t>
        </is>
      </c>
      <c r="B6" s="16">
        <f>VLOOKUP(A6,'Strip SKU Combination'!$B$2:$H$65,3,FALSE)</f>
        <v/>
      </c>
      <c r="C6" s="16">
        <f>VLOOKUP(A6,'Strip SKU Combination'!$B$2:$H$65,4,FALSE)</f>
        <v/>
      </c>
      <c r="D6" s="16">
        <f>VLOOKUP(A6,'Strip SKU Combination'!$B$2:$H$65,5,FALSE)</f>
        <v/>
      </c>
      <c r="E6" s="16">
        <f>VLOOKUP(A6,'Strip SKU Combination'!$B$2:$H$65,6,FALSE)</f>
        <v/>
      </c>
      <c r="F6" s="16">
        <f>VLOOKUP(A6,'Strip SKU Combination'!$B$2:$H$65,7,FALSE)</f>
        <v/>
      </c>
      <c r="G6" s="20" t="n"/>
      <c r="H6" s="6" t="n"/>
    </row>
    <row r="7">
      <c r="A7" s="20" t="inlineStr">
        <is>
          <t>RH112SRSNB-15</t>
        </is>
      </c>
      <c r="B7" s="16">
        <f>VLOOKUP(A7,'Strip SKU Combination'!$B$2:$H$65,3,FALSE)</f>
        <v/>
      </c>
      <c r="C7" s="16">
        <f>VLOOKUP(A7,'Strip SKU Combination'!$B$2:$H$65,4,FALSE)</f>
        <v/>
      </c>
      <c r="D7" s="16">
        <f>VLOOKUP(A7,'Strip SKU Combination'!$B$2:$H$65,5,FALSE)</f>
        <v/>
      </c>
      <c r="E7" s="16">
        <f>VLOOKUP(A7,'Strip SKU Combination'!$B$2:$H$65,6,FALSE)</f>
        <v/>
      </c>
      <c r="F7" s="16">
        <f>VLOOKUP(A7,'Strip SKU Combination'!$B$2:$H$65,7,FALSE)</f>
        <v/>
      </c>
      <c r="G7" s="20" t="n"/>
      <c r="H7" s="6" t="n"/>
    </row>
    <row r="8">
      <c r="A8" s="20" t="inlineStr">
        <is>
          <t>RH112SRSNB-24</t>
        </is>
      </c>
      <c r="B8" s="16">
        <f>VLOOKUP(A8,'Strip SKU Combination'!$B$2:$H$65,3,FALSE)</f>
        <v/>
      </c>
      <c r="C8" s="16">
        <f>VLOOKUP(A8,'Strip SKU Combination'!$B$2:$H$65,4,FALSE)</f>
        <v/>
      </c>
      <c r="D8" s="16">
        <f>VLOOKUP(A8,'Strip SKU Combination'!$B$2:$H$65,5,FALSE)</f>
        <v/>
      </c>
      <c r="E8" s="16">
        <f>VLOOKUP(A8,'Strip SKU Combination'!$B$2:$H$65,6,FALSE)</f>
        <v/>
      </c>
      <c r="F8" s="16">
        <f>VLOOKUP(A8,'Strip SKU Combination'!$B$2:$H$65,7,FALSE)</f>
        <v/>
      </c>
      <c r="G8" s="20" t="n"/>
      <c r="H8" s="6" t="n"/>
    </row>
    <row r="9">
      <c r="A9" s="20" t="inlineStr">
        <is>
          <t>RH112QOSNB-15</t>
        </is>
      </c>
      <c r="B9" s="16">
        <f>VLOOKUP(A9,'Strip SKU Combination'!$B$2:$H$65,3,FALSE)</f>
        <v/>
      </c>
      <c r="C9" s="16">
        <f>VLOOKUP(A9,'Strip SKU Combination'!$B$2:$H$65,4,FALSE)</f>
        <v/>
      </c>
      <c r="D9" s="16">
        <f>VLOOKUP(A9,'Strip SKU Combination'!$B$2:$H$65,5,FALSE)</f>
        <v/>
      </c>
      <c r="E9" s="16">
        <f>VLOOKUP(A9,'Strip SKU Combination'!$B$2:$H$65,6,FALSE)</f>
        <v/>
      </c>
      <c r="F9" s="16">
        <f>VLOOKUP(A9,'Strip SKU Combination'!$B$2:$H$65,7,FALSE)</f>
        <v/>
      </c>
      <c r="G9" s="20" t="n"/>
      <c r="H9" s="6" t="n"/>
    </row>
    <row r="10">
      <c r="A10" s="20" t="inlineStr">
        <is>
          <t>RH112QOSNB-24</t>
        </is>
      </c>
      <c r="B10" s="16">
        <f>VLOOKUP(A10,'Strip SKU Combination'!$B$2:$H$65,3,FALSE)</f>
        <v/>
      </c>
      <c r="C10" s="16">
        <f>VLOOKUP(A10,'Strip SKU Combination'!$B$2:$H$65,4,FALSE)</f>
        <v/>
      </c>
      <c r="D10" s="16">
        <f>VLOOKUP(A10,'Strip SKU Combination'!$B$2:$H$65,5,FALSE)</f>
        <v/>
      </c>
      <c r="E10" s="16">
        <f>VLOOKUP(A10,'Strip SKU Combination'!$B$2:$H$65,6,FALSE)</f>
        <v/>
      </c>
      <c r="F10" s="16">
        <f>VLOOKUP(A10,'Strip SKU Combination'!$B$2:$H$65,7,FALSE)</f>
        <v/>
      </c>
      <c r="G10" s="20" t="n"/>
      <c r="H10" s="6" t="n"/>
    </row>
    <row r="11">
      <c r="A11" s="20" t="inlineStr">
        <is>
          <t>RH112SOSNB</t>
        </is>
      </c>
      <c r="B11" s="16">
        <f>VLOOKUP(A11,'Strip SKU Combination'!$B$2:$H$65,3,FALSE)</f>
        <v/>
      </c>
      <c r="C11" s="16">
        <f>VLOOKUP(A11,'Strip SKU Combination'!$B$2:$H$65,4,FALSE)</f>
        <v/>
      </c>
      <c r="D11" s="16">
        <f>VLOOKUP(A11,'Strip SKU Combination'!$B$2:$H$65,5,FALSE)</f>
        <v/>
      </c>
      <c r="E11" s="16">
        <f>VLOOKUP(A11,'Strip SKU Combination'!$B$2:$H$65,6,FALSE)</f>
        <v/>
      </c>
      <c r="F11" s="16">
        <f>VLOOKUP(A11,'Strip SKU Combination'!$B$2:$H$65,7,FALSE)</f>
        <v/>
      </c>
      <c r="G11" s="20" t="n"/>
      <c r="H11" s="6" t="n"/>
    </row>
    <row r="12">
      <c r="A12" s="20" t="inlineStr">
        <is>
          <t>RH112SOSNB-15</t>
        </is>
      </c>
      <c r="B12" s="16">
        <f>VLOOKUP(A12,'Strip SKU Combination'!$B$2:$H$65,3,FALSE)</f>
        <v/>
      </c>
      <c r="C12" s="16">
        <f>VLOOKUP(A12,'Strip SKU Combination'!$B$2:$H$65,4,FALSE)</f>
        <v/>
      </c>
      <c r="D12" s="16">
        <f>VLOOKUP(A12,'Strip SKU Combination'!$B$2:$H$65,5,FALSE)</f>
        <v/>
      </c>
      <c r="E12" s="16">
        <f>VLOOKUP(A12,'Strip SKU Combination'!$B$2:$H$65,6,FALSE)</f>
        <v/>
      </c>
      <c r="F12" s="16">
        <f>VLOOKUP(A12,'Strip SKU Combination'!$B$2:$H$65,7,FALSE)</f>
        <v/>
      </c>
      <c r="G12" s="20" t="n"/>
      <c r="H12" s="6" t="n"/>
    </row>
    <row r="13">
      <c r="A13" s="20" t="inlineStr">
        <is>
          <t>RH112SOSNB-24</t>
        </is>
      </c>
      <c r="B13" s="16">
        <f>VLOOKUP(A13,'Strip SKU Combination'!$B$2:$H$65,3,FALSE)</f>
        <v/>
      </c>
      <c r="C13" s="16">
        <f>VLOOKUP(A13,'Strip SKU Combination'!$B$2:$H$65,4,FALSE)</f>
        <v/>
      </c>
      <c r="D13" s="16">
        <f>VLOOKUP(A13,'Strip SKU Combination'!$B$2:$H$65,5,FALSE)</f>
        <v/>
      </c>
      <c r="E13" s="16">
        <f>VLOOKUP(A13,'Strip SKU Combination'!$B$2:$H$65,6,FALSE)</f>
        <v/>
      </c>
      <c r="F13" s="16">
        <f>VLOOKUP(A13,'Strip SKU Combination'!$B$2:$H$65,7,FALSE)</f>
        <v/>
      </c>
      <c r="G13" s="20" t="n"/>
      <c r="H13" s="6" t="n"/>
    </row>
    <row r="14">
      <c r="A14" s="20" t="inlineStr">
        <is>
          <t>RH2QRSNB</t>
        </is>
      </c>
      <c r="B14" s="16">
        <f>VLOOKUP(A14,'Strip SKU Combination'!$B$2:$H$65,3,FALSE)</f>
        <v/>
      </c>
      <c r="C14" s="16">
        <f>VLOOKUP(A14,'Strip SKU Combination'!$B$2:$H$65,4,FALSE)</f>
        <v/>
      </c>
      <c r="D14" s="16">
        <f>VLOOKUP(A14,'Strip SKU Combination'!$B$2:$H$65,5,FALSE)</f>
        <v/>
      </c>
      <c r="E14" s="16">
        <f>VLOOKUP(A14,'Strip SKU Combination'!$B$2:$H$65,6,FALSE)</f>
        <v/>
      </c>
      <c r="F14" s="16">
        <f>VLOOKUP(A14,'Strip SKU Combination'!$B$2:$H$65,7,FALSE)</f>
        <v/>
      </c>
      <c r="G14" s="20" t="n"/>
      <c r="H14" s="6" t="n"/>
    </row>
    <row r="15">
      <c r="A15" s="20" t="inlineStr">
        <is>
          <t>RH2QRSNB-20</t>
        </is>
      </c>
      <c r="B15" s="16">
        <f>VLOOKUP(A15,'Strip SKU Combination'!$B$2:$H$65,3,FALSE)</f>
        <v/>
      </c>
      <c r="C15" s="16">
        <f>VLOOKUP(A15,'Strip SKU Combination'!$B$2:$H$65,4,FALSE)</f>
        <v/>
      </c>
      <c r="D15" s="16">
        <f>VLOOKUP(A15,'Strip SKU Combination'!$B$2:$H$65,5,FALSE)</f>
        <v/>
      </c>
      <c r="E15" s="16">
        <f>VLOOKUP(A15,'Strip SKU Combination'!$B$2:$H$65,6,FALSE)</f>
        <v/>
      </c>
      <c r="F15" s="16">
        <f>VLOOKUP(A15,'Strip SKU Combination'!$B$2:$H$65,7,FALSE)</f>
        <v/>
      </c>
      <c r="G15" s="20" t="n"/>
      <c r="H15" s="6" t="n"/>
    </row>
    <row r="16">
      <c r="A16" s="20" t="inlineStr">
        <is>
          <t>RH2QRSNB-24</t>
        </is>
      </c>
      <c r="B16" s="16">
        <f>VLOOKUP(A16,'Strip SKU Combination'!$B$2:$H$65,3,FALSE)</f>
        <v/>
      </c>
      <c r="C16" s="16">
        <f>VLOOKUP(A16,'Strip SKU Combination'!$B$2:$H$65,4,FALSE)</f>
        <v/>
      </c>
      <c r="D16" s="16">
        <f>VLOOKUP(A16,'Strip SKU Combination'!$B$2:$H$65,5,FALSE)</f>
        <v/>
      </c>
      <c r="E16" s="16">
        <f>VLOOKUP(A16,'Strip SKU Combination'!$B$2:$H$65,6,FALSE)</f>
        <v/>
      </c>
      <c r="F16" s="16">
        <f>VLOOKUP(A16,'Strip SKU Combination'!$B$2:$H$65,7,FALSE)</f>
        <v/>
      </c>
      <c r="G16" s="20" t="n"/>
      <c r="H16" s="6" t="n"/>
    </row>
    <row r="17">
      <c r="A17" s="20" t="inlineStr">
        <is>
          <t>RH2SRS</t>
        </is>
      </c>
      <c r="B17" s="16">
        <f>VLOOKUP(A17,'Strip SKU Combination'!$B$2:$H$65,3,FALSE)</f>
        <v/>
      </c>
      <c r="C17" s="16">
        <f>VLOOKUP(A17,'Strip SKU Combination'!$B$2:$H$65,4,FALSE)</f>
        <v/>
      </c>
      <c r="D17" s="16">
        <f>VLOOKUP(A17,'Strip SKU Combination'!$B$2:$H$65,5,FALSE)</f>
        <v/>
      </c>
      <c r="E17" s="16">
        <f>VLOOKUP(A17,'Strip SKU Combination'!$B$2:$H$65,6,FALSE)</f>
        <v/>
      </c>
      <c r="F17" s="16">
        <f>VLOOKUP(A17,'Strip SKU Combination'!$B$2:$H$65,7,FALSE)</f>
        <v/>
      </c>
      <c r="G17" s="20" t="n"/>
      <c r="H17" s="6" t="n"/>
    </row>
    <row r="18">
      <c r="A18" s="20" t="inlineStr">
        <is>
          <t>RH2SRSNB</t>
        </is>
      </c>
      <c r="B18" s="16">
        <f>VLOOKUP(A18,'Strip SKU Combination'!$B$2:$H$65,3,FALSE)</f>
        <v/>
      </c>
      <c r="C18" s="16">
        <f>VLOOKUP(A18,'Strip SKU Combination'!$B$2:$H$65,4,FALSE)</f>
        <v/>
      </c>
      <c r="D18" s="16">
        <f>VLOOKUP(A18,'Strip SKU Combination'!$B$2:$H$65,5,FALSE)</f>
        <v/>
      </c>
      <c r="E18" s="16">
        <f>VLOOKUP(A18,'Strip SKU Combination'!$B$2:$H$65,6,FALSE)</f>
        <v/>
      </c>
      <c r="F18" s="16">
        <f>VLOOKUP(A18,'Strip SKU Combination'!$B$2:$H$65,7,FALSE)</f>
        <v/>
      </c>
      <c r="G18" s="20" t="n"/>
      <c r="H18" s="6" t="n"/>
    </row>
    <row r="19">
      <c r="A19" s="20" t="inlineStr">
        <is>
          <t>RH2SRSNB-20</t>
        </is>
      </c>
      <c r="B19" s="16">
        <f>VLOOKUP(A19,'Strip SKU Combination'!$B$2:$H$65,3,FALSE)</f>
        <v/>
      </c>
      <c r="C19" s="16">
        <f>VLOOKUP(A19,'Strip SKU Combination'!$B$2:$H$65,4,FALSE)</f>
        <v/>
      </c>
      <c r="D19" s="16">
        <f>VLOOKUP(A19,'Strip SKU Combination'!$B$2:$H$65,5,FALSE)</f>
        <v/>
      </c>
      <c r="E19" s="16">
        <f>VLOOKUP(A19,'Strip SKU Combination'!$B$2:$H$65,6,FALSE)</f>
        <v/>
      </c>
      <c r="F19" s="16">
        <f>VLOOKUP(A19,'Strip SKU Combination'!$B$2:$H$65,7,FALSE)</f>
        <v/>
      </c>
      <c r="G19" s="20" t="n"/>
      <c r="H19" s="6" t="n"/>
    </row>
    <row r="20">
      <c r="A20" s="20" t="inlineStr">
        <is>
          <t>RH2QOSNB</t>
        </is>
      </c>
      <c r="B20" s="16">
        <f>VLOOKUP(A20,'Strip SKU Combination'!$B$2:$H$65,3,FALSE)</f>
        <v/>
      </c>
      <c r="C20" s="16">
        <f>VLOOKUP(A20,'Strip SKU Combination'!$B$2:$H$65,4,FALSE)</f>
        <v/>
      </c>
      <c r="D20" s="16">
        <f>VLOOKUP(A20,'Strip SKU Combination'!$B$2:$H$65,5,FALSE)</f>
        <v/>
      </c>
      <c r="E20" s="16">
        <f>VLOOKUP(A20,'Strip SKU Combination'!$B$2:$H$65,6,FALSE)</f>
        <v/>
      </c>
      <c r="F20" s="16">
        <f>VLOOKUP(A20,'Strip SKU Combination'!$B$2:$H$65,7,FALSE)</f>
        <v/>
      </c>
      <c r="G20" s="20" t="n"/>
      <c r="H20" s="6" t="n"/>
    </row>
    <row r="21">
      <c r="A21" s="20" t="inlineStr">
        <is>
          <t>RH2QOSNB-20</t>
        </is>
      </c>
      <c r="B21" s="16">
        <f>VLOOKUP(A21,'Strip SKU Combination'!$B$2:$H$65,3,FALSE)</f>
        <v/>
      </c>
      <c r="C21" s="16">
        <f>VLOOKUP(A21,'Strip SKU Combination'!$B$2:$H$65,4,FALSE)</f>
        <v/>
      </c>
      <c r="D21" s="16">
        <f>VLOOKUP(A21,'Strip SKU Combination'!$B$2:$H$65,5,FALSE)</f>
        <v/>
      </c>
      <c r="E21" s="16">
        <f>VLOOKUP(A21,'Strip SKU Combination'!$B$2:$H$65,6,FALSE)</f>
        <v/>
      </c>
      <c r="F21" s="16">
        <f>VLOOKUP(A21,'Strip SKU Combination'!$B$2:$H$65,7,FALSE)</f>
        <v/>
      </c>
      <c r="G21" s="20" t="n"/>
      <c r="H21" s="6" t="n"/>
    </row>
    <row r="22">
      <c r="A22" s="20" t="inlineStr">
        <is>
          <t>RH2QOSNB-24</t>
        </is>
      </c>
      <c r="B22" s="16">
        <f>VLOOKUP(A22,'Strip SKU Combination'!$B$2:$H$65,3,FALSE)</f>
        <v/>
      </c>
      <c r="C22" s="16">
        <f>VLOOKUP(A22,'Strip SKU Combination'!$B$2:$H$65,4,FALSE)</f>
        <v/>
      </c>
      <c r="D22" s="16">
        <f>VLOOKUP(A22,'Strip SKU Combination'!$B$2:$H$65,5,FALSE)</f>
        <v/>
      </c>
      <c r="E22" s="16">
        <f>VLOOKUP(A22,'Strip SKU Combination'!$B$2:$H$65,6,FALSE)</f>
        <v/>
      </c>
      <c r="F22" s="16">
        <f>VLOOKUP(A22,'Strip SKU Combination'!$B$2:$H$65,7,FALSE)</f>
        <v/>
      </c>
      <c r="G22" s="20" t="n"/>
      <c r="H22" s="6" t="n"/>
    </row>
    <row r="23">
      <c r="A23" s="20" t="inlineStr">
        <is>
          <t>RH2SOSNB</t>
        </is>
      </c>
      <c r="B23" s="16">
        <f>VLOOKUP(A23,'Strip SKU Combination'!$B$2:$H$65,3,FALSE)</f>
        <v/>
      </c>
      <c r="C23" s="16">
        <f>VLOOKUP(A23,'Strip SKU Combination'!$B$2:$H$65,4,FALSE)</f>
        <v/>
      </c>
      <c r="D23" s="16">
        <f>VLOOKUP(A23,'Strip SKU Combination'!$B$2:$H$65,5,FALSE)</f>
        <v/>
      </c>
      <c r="E23" s="16">
        <f>VLOOKUP(A23,'Strip SKU Combination'!$B$2:$H$65,6,FALSE)</f>
        <v/>
      </c>
      <c r="F23" s="16">
        <f>VLOOKUP(A23,'Strip SKU Combination'!$B$2:$H$65,7,FALSE)</f>
        <v/>
      </c>
      <c r="G23" s="20" t="n"/>
      <c r="H23" s="6" t="n"/>
    </row>
    <row r="24">
      <c r="A24" s="20" t="inlineStr">
        <is>
          <t>RH2SOSNB-20</t>
        </is>
      </c>
      <c r="B24" s="16">
        <f>VLOOKUP(A24,'Strip SKU Combination'!$B$2:$H$65,3,FALSE)</f>
        <v/>
      </c>
      <c r="C24" s="16">
        <f>VLOOKUP(A24,'Strip SKU Combination'!$B$2:$H$65,4,FALSE)</f>
        <v/>
      </c>
      <c r="D24" s="16">
        <f>VLOOKUP(A24,'Strip SKU Combination'!$B$2:$H$65,5,FALSE)</f>
        <v/>
      </c>
      <c r="E24" s="16">
        <f>VLOOKUP(A24,'Strip SKU Combination'!$B$2:$H$65,6,FALSE)</f>
        <v/>
      </c>
      <c r="F24" s="16">
        <f>VLOOKUP(A24,'Strip SKU Combination'!$B$2:$H$65,7,FALSE)</f>
        <v/>
      </c>
      <c r="G24" s="20" t="n"/>
      <c r="H24" s="6" t="n"/>
    </row>
    <row r="25">
      <c r="A25" s="20" t="inlineStr">
        <is>
          <t>RH2SOSNB-24</t>
        </is>
      </c>
      <c r="B25" s="16">
        <f>VLOOKUP(A25,'Strip SKU Combination'!$B$2:$H$65,3,FALSE)</f>
        <v/>
      </c>
      <c r="C25" s="16">
        <f>VLOOKUP(A25,'Strip SKU Combination'!$B$2:$H$65,4,FALSE)</f>
        <v/>
      </c>
      <c r="D25" s="16">
        <f>VLOOKUP(A25,'Strip SKU Combination'!$B$2:$H$65,5,FALSE)</f>
        <v/>
      </c>
      <c r="E25" s="16">
        <f>VLOOKUP(A25,'Strip SKU Combination'!$B$2:$H$65,6,FALSE)</f>
        <v/>
      </c>
      <c r="F25" s="16">
        <f>VLOOKUP(A25,'Strip SKU Combination'!$B$2:$H$65,7,FALSE)</f>
        <v/>
      </c>
      <c r="G25" s="20" t="n"/>
      <c r="H25" s="6" t="n"/>
    </row>
    <row r="26">
      <c r="A26" s="20" t="inlineStr">
        <is>
          <t>RQ112SRSNB</t>
        </is>
      </c>
      <c r="B26" s="16">
        <f>VLOOKUP(A26,'Strip SKU Combination'!$B$2:$H$65,3,FALSE)</f>
        <v/>
      </c>
      <c r="C26" s="16">
        <f>VLOOKUP(A26,'Strip SKU Combination'!$B$2:$H$65,4,FALSE)</f>
        <v/>
      </c>
      <c r="D26" s="16">
        <f>VLOOKUP(A26,'Strip SKU Combination'!$B$2:$H$65,5,FALSE)</f>
        <v/>
      </c>
      <c r="E26" s="16">
        <f>VLOOKUP(A26,'Strip SKU Combination'!$B$2:$H$65,6,FALSE)</f>
        <v/>
      </c>
      <c r="F26" s="16">
        <f>VLOOKUP(A26,'Strip SKU Combination'!$B$2:$H$65,7,FALSE)</f>
        <v/>
      </c>
      <c r="G26" s="20" t="n"/>
      <c r="H26" s="6" t="n"/>
    </row>
    <row r="27">
      <c r="A27" s="20" t="inlineStr">
        <is>
          <t>RQ112SOSNB</t>
        </is>
      </c>
      <c r="B27" s="16">
        <f>VLOOKUP(A27,'Strip SKU Combination'!$B$2:$H$65,3,FALSE)</f>
        <v/>
      </c>
      <c r="C27" s="16">
        <f>VLOOKUP(A27,'Strip SKU Combination'!$B$2:$H$65,4,FALSE)</f>
        <v/>
      </c>
      <c r="D27" s="16">
        <f>VLOOKUP(A27,'Strip SKU Combination'!$B$2:$H$65,5,FALSE)</f>
        <v/>
      </c>
      <c r="E27" s="16">
        <f>VLOOKUP(A27,'Strip SKU Combination'!$B$2:$H$65,6,FALSE)</f>
        <v/>
      </c>
      <c r="F27" s="16">
        <f>VLOOKUP(A27,'Strip SKU Combination'!$B$2:$H$65,7,FALSE)</f>
        <v/>
      </c>
      <c r="G27" s="20" t="n"/>
      <c r="H27" s="6" t="n"/>
    </row>
    <row r="28">
      <c r="A28" s="20" t="inlineStr">
        <is>
          <t>RQ214FMS</t>
        </is>
      </c>
      <c r="B28" s="16">
        <f>VLOOKUP(A28,'Strip SKU Combination'!$B$2:$H$65,3,FALSE)</f>
        <v/>
      </c>
      <c r="C28" s="16">
        <f>VLOOKUP(A28,'Strip SKU Combination'!$B$2:$H$65,4,FALSE)</f>
        <v/>
      </c>
      <c r="D28" s="16">
        <f>VLOOKUP(A28,'Strip SKU Combination'!$B$2:$H$65,5,FALSE)</f>
        <v/>
      </c>
      <c r="E28" s="16">
        <f>VLOOKUP(A28,'Strip SKU Combination'!$B$2:$H$65,6,FALSE)</f>
        <v/>
      </c>
      <c r="F28" s="16">
        <f>VLOOKUP(A28,'Strip SKU Combination'!$B$2:$H$65,7,FALSE)</f>
        <v/>
      </c>
      <c r="G28" s="20" t="n"/>
      <c r="H28" s="6" t="n"/>
    </row>
    <row r="29">
      <c r="A29" s="20" t="inlineStr">
        <is>
          <t>RQ214SRSSP</t>
        </is>
      </c>
      <c r="B29" s="16">
        <f>VLOOKUP(A29,'Strip SKU Combination'!$B$2:$H$65,3,FALSE)</f>
        <v/>
      </c>
      <c r="C29" s="16">
        <f>VLOOKUP(A29,'Strip SKU Combination'!$B$2:$H$65,4,FALSE)</f>
        <v/>
      </c>
      <c r="D29" s="16">
        <f>VLOOKUP(A29,'Strip SKU Combination'!$B$2:$H$65,5,FALSE)</f>
        <v/>
      </c>
      <c r="E29" s="16">
        <f>VLOOKUP(A29,'Strip SKU Combination'!$B$2:$H$65,6,FALSE)</f>
        <v/>
      </c>
      <c r="F29" s="16">
        <f>VLOOKUP(A29,'Strip SKU Combination'!$B$2:$H$65,7,FALSE)</f>
        <v/>
      </c>
      <c r="G29" s="20" t="n"/>
      <c r="H29" s="6" t="n"/>
    </row>
    <row r="30">
      <c r="A30" s="20" t="inlineStr">
        <is>
          <t>RQ214QOSSP</t>
        </is>
      </c>
      <c r="B30" s="16">
        <f>VLOOKUP(A30,'Strip SKU Combination'!$B$2:$H$65,3,FALSE)</f>
        <v/>
      </c>
      <c r="C30" s="16">
        <f>VLOOKUP(A30,'Strip SKU Combination'!$B$2:$H$65,4,FALSE)</f>
        <v/>
      </c>
      <c r="D30" s="16">
        <f>VLOOKUP(A30,'Strip SKU Combination'!$B$2:$H$65,5,FALSE)</f>
        <v/>
      </c>
      <c r="E30" s="16">
        <f>VLOOKUP(A30,'Strip SKU Combination'!$B$2:$H$65,6,FALSE)</f>
        <v/>
      </c>
      <c r="F30" s="16">
        <f>VLOOKUP(A30,'Strip SKU Combination'!$B$2:$H$65,7,FALSE)</f>
        <v/>
      </c>
      <c r="G30" s="20" t="n"/>
      <c r="H30" s="6" t="n"/>
    </row>
    <row r="31">
      <c r="A31" s="20" t="inlineStr">
        <is>
          <t>RQ214SOSSP</t>
        </is>
      </c>
      <c r="B31" s="16">
        <f>VLOOKUP(A31,'Strip SKU Combination'!$B$2:$H$65,3,FALSE)</f>
        <v/>
      </c>
      <c r="C31" s="16">
        <f>VLOOKUP(A31,'Strip SKU Combination'!$B$2:$H$65,4,FALSE)</f>
        <v/>
      </c>
      <c r="D31" s="16">
        <f>VLOOKUP(A31,'Strip SKU Combination'!$B$2:$H$65,5,FALSE)</f>
        <v/>
      </c>
      <c r="E31" s="16">
        <f>VLOOKUP(A31,'Strip SKU Combination'!$B$2:$H$65,6,FALSE)</f>
        <v/>
      </c>
      <c r="F31" s="16">
        <f>VLOOKUP(A31,'Strip SKU Combination'!$B$2:$H$65,7,FALSE)</f>
        <v/>
      </c>
      <c r="G31" s="20" t="n"/>
      <c r="H31" s="6" t="n"/>
    </row>
    <row r="32">
      <c r="A32" s="20" t="inlineStr">
        <is>
          <t>RQ3SRB</t>
        </is>
      </c>
      <c r="B32" s="16">
        <f>VLOOKUP(A32,'Strip SKU Combination'!$B$2:$H$65,3,FALSE)</f>
        <v/>
      </c>
      <c r="C32" s="16">
        <f>VLOOKUP(A32,'Strip SKU Combination'!$B$2:$H$65,4,FALSE)</f>
        <v/>
      </c>
      <c r="D32" s="16">
        <f>VLOOKUP(A32,'Strip SKU Combination'!$B$2:$H$65,5,FALSE)</f>
        <v/>
      </c>
      <c r="E32" s="16">
        <f>VLOOKUP(A32,'Strip SKU Combination'!$B$2:$H$65,6,FALSE)</f>
        <v/>
      </c>
      <c r="F32" s="16">
        <f>VLOOKUP(A32,'Strip SKU Combination'!$B$2:$H$65,7,FALSE)</f>
        <v/>
      </c>
      <c r="G32" s="20" t="n"/>
      <c r="H32" s="6" t="n"/>
    </row>
    <row r="33">
      <c r="A33" s="20" t="inlineStr">
        <is>
          <t>RQ3SRS</t>
        </is>
      </c>
      <c r="B33" s="16">
        <f>VLOOKUP(A33,'Strip SKU Combination'!$B$2:$H$65,3,FALSE)</f>
        <v/>
      </c>
      <c r="C33" s="16">
        <f>VLOOKUP(A33,'Strip SKU Combination'!$B$2:$H$65,4,FALSE)</f>
        <v/>
      </c>
      <c r="D33" s="16">
        <f>VLOOKUP(A33,'Strip SKU Combination'!$B$2:$H$65,5,FALSE)</f>
        <v/>
      </c>
      <c r="E33" s="16">
        <f>VLOOKUP(A33,'Strip SKU Combination'!$B$2:$H$65,6,FALSE)</f>
        <v/>
      </c>
      <c r="F33" s="16">
        <f>VLOOKUP(A33,'Strip SKU Combination'!$B$2:$H$65,7,FALSE)</f>
        <v/>
      </c>
      <c r="G33" s="20" t="n"/>
      <c r="H33" s="6" t="n"/>
    </row>
    <row r="34">
      <c r="A34" s="20" t="inlineStr">
        <is>
          <t>RQ3SOS</t>
        </is>
      </c>
      <c r="B34" s="16">
        <f>VLOOKUP(A34,'Strip SKU Combination'!$B$2:$H$65,3,FALSE)</f>
        <v/>
      </c>
      <c r="C34" s="16">
        <f>VLOOKUP(A34,'Strip SKU Combination'!$B$2:$H$65,4,FALSE)</f>
        <v/>
      </c>
      <c r="D34" s="16">
        <f>VLOOKUP(A34,'Strip SKU Combination'!$B$2:$H$65,5,FALSE)</f>
        <v/>
      </c>
      <c r="E34" s="16">
        <f>VLOOKUP(A34,'Strip SKU Combination'!$B$2:$H$65,6,FALSE)</f>
        <v/>
      </c>
      <c r="F34" s="16">
        <f>VLOOKUP(A34,'Strip SKU Combination'!$B$2:$H$65,7,FALSE)</f>
        <v/>
      </c>
      <c r="G34" s="20" t="n"/>
      <c r="H34" s="6" t="n"/>
    </row>
    <row r="35">
      <c r="A35" s="20" t="inlineStr">
        <is>
          <t>RQ3SOB</t>
        </is>
      </c>
      <c r="B35" s="16">
        <f>VLOOKUP(A35,'Strip SKU Combination'!$B$2:$H$65,3,FALSE)</f>
        <v/>
      </c>
      <c r="C35" s="16">
        <f>VLOOKUP(A35,'Strip SKU Combination'!$B$2:$H$65,4,FALSE)</f>
        <v/>
      </c>
      <c r="D35" s="16">
        <f>VLOOKUP(A35,'Strip SKU Combination'!$B$2:$H$65,5,FALSE)</f>
        <v/>
      </c>
      <c r="E35" s="16">
        <f>VLOOKUP(A35,'Strip SKU Combination'!$B$2:$H$65,6,FALSE)</f>
        <v/>
      </c>
      <c r="F35" s="16">
        <f>VLOOKUP(A35,'Strip SKU Combination'!$B$2:$H$65,7,FALSE)</f>
        <v/>
      </c>
      <c r="G35" s="20" t="n"/>
      <c r="H35" s="6" t="n"/>
    </row>
    <row r="36">
      <c r="A36" s="20" t="inlineStr">
        <is>
          <t>RQ314SDS</t>
        </is>
      </c>
      <c r="B36" s="16">
        <f>VLOOKUP(A36,'Strip SKU Combination'!$B$2:$H$65,3,FALSE)</f>
        <v/>
      </c>
      <c r="C36" s="16">
        <f>VLOOKUP(A36,'Strip SKU Combination'!$B$2:$H$65,4,FALSE)</f>
        <v/>
      </c>
      <c r="D36" s="16">
        <f>VLOOKUP(A36,'Strip SKU Combination'!$B$2:$H$65,5,FALSE)</f>
        <v/>
      </c>
      <c r="E36" s="16">
        <f>VLOOKUP(A36,'Strip SKU Combination'!$B$2:$H$65,6,FALSE)</f>
        <v/>
      </c>
      <c r="F36" s="16">
        <f>VLOOKUP(A36,'Strip SKU Combination'!$B$2:$H$65,7,FALSE)</f>
        <v/>
      </c>
      <c r="G36" s="20" t="n"/>
      <c r="H36" s="6" t="n"/>
    </row>
    <row r="37">
      <c r="A37" s="20" t="inlineStr">
        <is>
          <t>RQ314FMS</t>
        </is>
      </c>
      <c r="B37" s="16">
        <f>VLOOKUP(A37,'Strip SKU Combination'!$B$2:$H$65,3,FALSE)</f>
        <v/>
      </c>
      <c r="C37" s="16">
        <f>VLOOKUP(A37,'Strip SKU Combination'!$B$2:$H$65,4,FALSE)</f>
        <v/>
      </c>
      <c r="D37" s="16">
        <f>VLOOKUP(A37,'Strip SKU Combination'!$B$2:$H$65,5,FALSE)</f>
        <v/>
      </c>
      <c r="E37" s="16">
        <f>VLOOKUP(A37,'Strip SKU Combination'!$B$2:$H$65,6,FALSE)</f>
        <v/>
      </c>
      <c r="F37" s="16">
        <f>VLOOKUP(A37,'Strip SKU Combination'!$B$2:$H$65,7,FALSE)</f>
        <v/>
      </c>
      <c r="G37" s="20" t="n"/>
      <c r="H37" s="6" t="n"/>
    </row>
    <row r="38">
      <c r="A38" s="20" t="inlineStr">
        <is>
          <t>RQ314SRSSP</t>
        </is>
      </c>
      <c r="B38" s="16">
        <f>VLOOKUP(A38,'Strip SKU Combination'!$B$2:$H$65,3,FALSE)</f>
        <v/>
      </c>
      <c r="C38" s="16">
        <f>VLOOKUP(A38,'Strip SKU Combination'!$B$2:$H$65,4,FALSE)</f>
        <v/>
      </c>
      <c r="D38" s="16">
        <f>VLOOKUP(A38,'Strip SKU Combination'!$B$2:$H$65,5,FALSE)</f>
        <v/>
      </c>
      <c r="E38" s="16">
        <f>VLOOKUP(A38,'Strip SKU Combination'!$B$2:$H$65,6,FALSE)</f>
        <v/>
      </c>
      <c r="F38" s="16">
        <f>VLOOKUP(A38,'Strip SKU Combination'!$B$2:$H$65,7,FALSE)</f>
        <v/>
      </c>
      <c r="G38" s="20" t="n"/>
      <c r="H38" s="6" t="n"/>
    </row>
    <row r="39">
      <c r="A39" s="20" t="inlineStr">
        <is>
          <t>RQ314QOSSP</t>
        </is>
      </c>
      <c r="B39" s="16">
        <f>VLOOKUP(A39,'Strip SKU Combination'!$B$2:$H$65,3,FALSE)</f>
        <v/>
      </c>
      <c r="C39" s="16">
        <f>VLOOKUP(A39,'Strip SKU Combination'!$B$2:$H$65,4,FALSE)</f>
        <v/>
      </c>
      <c r="D39" s="16">
        <f>VLOOKUP(A39,'Strip SKU Combination'!$B$2:$H$65,5,FALSE)</f>
        <v/>
      </c>
      <c r="E39" s="16">
        <f>VLOOKUP(A39,'Strip SKU Combination'!$B$2:$H$65,6,FALSE)</f>
        <v/>
      </c>
      <c r="F39" s="16">
        <f>VLOOKUP(A39,'Strip SKU Combination'!$B$2:$H$65,7,FALSE)</f>
        <v/>
      </c>
      <c r="G39" s="20" t="n"/>
      <c r="H39" s="6" t="n"/>
    </row>
    <row r="40">
      <c r="A40" s="20" t="inlineStr">
        <is>
          <t>RQ314SOSSP</t>
        </is>
      </c>
      <c r="B40" s="16">
        <f>VLOOKUP(A40,'Strip SKU Combination'!$B$2:$H$65,3,FALSE)</f>
        <v/>
      </c>
      <c r="C40" s="16">
        <f>VLOOKUP(A40,'Strip SKU Combination'!$B$2:$H$65,4,FALSE)</f>
        <v/>
      </c>
      <c r="D40" s="16">
        <f>VLOOKUP(A40,'Strip SKU Combination'!$B$2:$H$65,5,FALSE)</f>
        <v/>
      </c>
      <c r="E40" s="16">
        <f>VLOOKUP(A40,'Strip SKU Combination'!$B$2:$H$65,6,FALSE)</f>
        <v/>
      </c>
      <c r="F40" s="16">
        <f>VLOOKUP(A40,'Strip SKU Combination'!$B$2:$H$65,7,FALSE)</f>
        <v/>
      </c>
      <c r="G40" s="20" t="n"/>
      <c r="H40" s="6" t="n"/>
    </row>
    <row r="41">
      <c r="A41" s="20" t="inlineStr">
        <is>
          <t>RQ4SRB</t>
        </is>
      </c>
      <c r="B41" s="16">
        <f>VLOOKUP(A41,'Strip SKU Combination'!$B$2:$H$65,3,FALSE)</f>
        <v/>
      </c>
      <c r="C41" s="16">
        <f>VLOOKUP(A41,'Strip SKU Combination'!$B$2:$H$65,4,FALSE)</f>
        <v/>
      </c>
      <c r="D41" s="16">
        <f>VLOOKUP(A41,'Strip SKU Combination'!$B$2:$H$65,5,FALSE)</f>
        <v/>
      </c>
      <c r="E41" s="16">
        <f>VLOOKUP(A41,'Strip SKU Combination'!$B$2:$H$65,6,FALSE)</f>
        <v/>
      </c>
      <c r="F41" s="16">
        <f>VLOOKUP(A41,'Strip SKU Combination'!$B$2:$H$65,7,FALSE)</f>
        <v/>
      </c>
      <c r="G41" s="20" t="n"/>
      <c r="H41" s="6" t="n"/>
    </row>
    <row r="42">
      <c r="A42" s="20" t="inlineStr">
        <is>
          <t>RQ4SRS</t>
        </is>
      </c>
      <c r="B42" s="16">
        <f>VLOOKUP(A42,'Strip SKU Combination'!$B$2:$H$65,3,FALSE)</f>
        <v/>
      </c>
      <c r="C42" s="16">
        <f>VLOOKUP(A42,'Strip SKU Combination'!$B$2:$H$65,4,FALSE)</f>
        <v/>
      </c>
      <c r="D42" s="16">
        <f>VLOOKUP(A42,'Strip SKU Combination'!$B$2:$H$65,5,FALSE)</f>
        <v/>
      </c>
      <c r="E42" s="16">
        <f>VLOOKUP(A42,'Strip SKU Combination'!$B$2:$H$65,6,FALSE)</f>
        <v/>
      </c>
      <c r="F42" s="16">
        <f>VLOOKUP(A42,'Strip SKU Combination'!$B$2:$H$65,7,FALSE)</f>
        <v/>
      </c>
      <c r="G42" s="20" t="n"/>
      <c r="H42" s="6" t="n"/>
    </row>
    <row r="43">
      <c r="A43" s="20" t="inlineStr">
        <is>
          <t>RQ4SOB</t>
        </is>
      </c>
      <c r="B43" s="16">
        <f>VLOOKUP(A43,'Strip SKU Combination'!$B$2:$H$65,3,FALSE)</f>
        <v/>
      </c>
      <c r="C43" s="16">
        <f>VLOOKUP(A43,'Strip SKU Combination'!$B$2:$H$65,4,FALSE)</f>
        <v/>
      </c>
      <c r="D43" s="16">
        <f>VLOOKUP(A43,'Strip SKU Combination'!$B$2:$H$65,5,FALSE)</f>
        <v/>
      </c>
      <c r="E43" s="16">
        <f>VLOOKUP(A43,'Strip SKU Combination'!$B$2:$H$65,6,FALSE)</f>
        <v/>
      </c>
      <c r="F43" s="16">
        <f>VLOOKUP(A43,'Strip SKU Combination'!$B$2:$H$65,7,FALSE)</f>
        <v/>
      </c>
      <c r="G43" s="20" t="n"/>
      <c r="H43" s="6" t="n"/>
    </row>
    <row r="44">
      <c r="A44" s="20" t="inlineStr">
        <is>
          <t>RQ4SOS</t>
        </is>
      </c>
      <c r="B44" s="16">
        <f>VLOOKUP(A44,'Strip SKU Combination'!$B$2:$H$65,3,FALSE)</f>
        <v/>
      </c>
      <c r="C44" s="16">
        <f>VLOOKUP(A44,'Strip SKU Combination'!$B$2:$H$65,4,FALSE)</f>
        <v/>
      </c>
      <c r="D44" s="16">
        <f>VLOOKUP(A44,'Strip SKU Combination'!$B$2:$H$65,5,FALSE)</f>
        <v/>
      </c>
      <c r="E44" s="16">
        <f>VLOOKUP(A44,'Strip SKU Combination'!$B$2:$H$65,6,FALSE)</f>
        <v/>
      </c>
      <c r="F44" s="16">
        <f>VLOOKUP(A44,'Strip SKU Combination'!$B$2:$H$65,7,FALSE)</f>
        <v/>
      </c>
      <c r="G44" s="20" t="n"/>
      <c r="H44" s="6" t="n"/>
    </row>
    <row r="45">
      <c r="A45" s="20" t="inlineStr">
        <is>
          <t>RQ5FMS</t>
        </is>
      </c>
      <c r="B45" s="16">
        <f>VLOOKUP(A45,'Strip SKU Combination'!$B$2:$H$65,3,FALSE)</f>
        <v/>
      </c>
      <c r="C45" s="16">
        <f>VLOOKUP(A45,'Strip SKU Combination'!$B$2:$H$65,4,FALSE)</f>
        <v/>
      </c>
      <c r="D45" s="16">
        <f>VLOOKUP(A45,'Strip SKU Combination'!$B$2:$H$65,5,FALSE)</f>
        <v/>
      </c>
      <c r="E45" s="16">
        <f>VLOOKUP(A45,'Strip SKU Combination'!$B$2:$H$65,6,FALSE)</f>
        <v/>
      </c>
      <c r="F45" s="16">
        <f>VLOOKUP(A45,'Strip SKU Combination'!$B$2:$H$65,7,FALSE)</f>
        <v/>
      </c>
      <c r="G45" s="20" t="n"/>
      <c r="H45" s="6" t="n"/>
    </row>
    <row r="46">
      <c r="A46" s="20" t="inlineStr">
        <is>
          <t>RQ5SRB</t>
        </is>
      </c>
      <c r="B46" s="16">
        <f>VLOOKUP(A46,'Strip SKU Combination'!$B$2:$H$65,3,FALSE)</f>
        <v/>
      </c>
      <c r="C46" s="16">
        <f>VLOOKUP(A46,'Strip SKU Combination'!$B$2:$H$65,4,FALSE)</f>
        <v/>
      </c>
      <c r="D46" s="16">
        <f>VLOOKUP(A46,'Strip SKU Combination'!$B$2:$H$65,5,FALSE)</f>
        <v/>
      </c>
      <c r="E46" s="16">
        <f>VLOOKUP(A46,'Strip SKU Combination'!$B$2:$H$65,6,FALSE)</f>
        <v/>
      </c>
      <c r="F46" s="16">
        <f>VLOOKUP(A46,'Strip SKU Combination'!$B$2:$H$65,7,FALSE)</f>
        <v/>
      </c>
      <c r="G46" s="20" t="n"/>
      <c r="H46" s="6" t="n"/>
    </row>
    <row r="47">
      <c r="A47" s="20" t="inlineStr">
        <is>
          <t>RQ5SRS</t>
        </is>
      </c>
      <c r="B47" s="16">
        <f>VLOOKUP(A47,'Strip SKU Combination'!$B$2:$H$65,3,FALSE)</f>
        <v/>
      </c>
      <c r="C47" s="16">
        <f>VLOOKUP(A47,'Strip SKU Combination'!$B$2:$H$65,4,FALSE)</f>
        <v/>
      </c>
      <c r="D47" s="16">
        <f>VLOOKUP(A47,'Strip SKU Combination'!$B$2:$H$65,5,FALSE)</f>
        <v/>
      </c>
      <c r="E47" s="16">
        <f>VLOOKUP(A47,'Strip SKU Combination'!$B$2:$H$65,6,FALSE)</f>
        <v/>
      </c>
      <c r="F47" s="16">
        <f>VLOOKUP(A47,'Strip SKU Combination'!$B$2:$H$65,7,FALSE)</f>
        <v/>
      </c>
      <c r="G47" s="20" t="n"/>
      <c r="H47" s="6" t="n"/>
    </row>
    <row r="48">
      <c r="A48" s="20" t="inlineStr">
        <is>
          <t>RQ5SRSI</t>
        </is>
      </c>
      <c r="B48" s="16">
        <f>VLOOKUP(A48,'Strip SKU Combination'!$B$2:$H$65,3,FALSE)</f>
        <v/>
      </c>
      <c r="C48" s="16">
        <f>VLOOKUP(A48,'Strip SKU Combination'!$B$2:$H$65,4,FALSE)</f>
        <v/>
      </c>
      <c r="D48" s="16">
        <f>VLOOKUP(A48,'Strip SKU Combination'!$B$2:$H$65,5,FALSE)</f>
        <v/>
      </c>
      <c r="E48" s="16">
        <f>VLOOKUP(A48,'Strip SKU Combination'!$B$2:$H$65,6,FALSE)</f>
        <v/>
      </c>
      <c r="F48" s="16">
        <f>VLOOKUP(A48,'Strip SKU Combination'!$B$2:$H$65,7,FALSE)</f>
        <v/>
      </c>
      <c r="G48" s="20" t="n"/>
      <c r="H48" s="6" t="n"/>
    </row>
    <row r="49">
      <c r="A49" s="20" t="inlineStr">
        <is>
          <t>RQ5SWS</t>
        </is>
      </c>
      <c r="B49" s="16">
        <f>VLOOKUP(A49,'Strip SKU Combination'!$B$2:$H$65,3,FALSE)</f>
        <v/>
      </c>
      <c r="C49" s="16">
        <f>VLOOKUP(A49,'Strip SKU Combination'!$B$2:$H$65,4,FALSE)</f>
        <v/>
      </c>
      <c r="D49" s="16">
        <f>VLOOKUP(A49,'Strip SKU Combination'!$B$2:$H$65,5,FALSE)</f>
        <v/>
      </c>
      <c r="E49" s="16">
        <f>VLOOKUP(A49,'Strip SKU Combination'!$B$2:$H$65,6,FALSE)</f>
        <v/>
      </c>
      <c r="F49" s="16">
        <f>VLOOKUP(A49,'Strip SKU Combination'!$B$2:$H$65,7,FALSE)</f>
        <v/>
      </c>
      <c r="G49" s="20" t="n"/>
      <c r="H49" s="6" t="n"/>
    </row>
    <row r="50">
      <c r="A50" s="20" t="inlineStr">
        <is>
          <t>RQ5SWS</t>
        </is>
      </c>
      <c r="B50" s="16">
        <f>VLOOKUP(A50,'Strip SKU Combination'!$B$2:$H$65,3,FALSE)</f>
        <v/>
      </c>
      <c r="C50" s="16">
        <f>VLOOKUP(A50,'Strip SKU Combination'!$B$2:$H$65,4,FALSE)</f>
        <v/>
      </c>
      <c r="D50" s="16">
        <f>VLOOKUP(A50,'Strip SKU Combination'!$B$2:$H$65,5,FALSE)</f>
        <v/>
      </c>
      <c r="E50" s="16">
        <f>VLOOKUP(A50,'Strip SKU Combination'!$B$2:$H$65,6,FALSE)</f>
        <v/>
      </c>
      <c r="F50" s="16">
        <f>VLOOKUP(A50,'Strip SKU Combination'!$B$2:$H$65,7,FALSE)</f>
        <v/>
      </c>
      <c r="G50" s="20" t="n"/>
      <c r="H50" s="6" t="n"/>
    </row>
    <row r="51">
      <c r="A51" s="20" t="inlineStr">
        <is>
          <t>RQ5SOS</t>
        </is>
      </c>
      <c r="B51" s="16">
        <f>VLOOKUP(A51,'Strip SKU Combination'!$B$2:$H$65,3,FALSE)</f>
        <v/>
      </c>
      <c r="C51" s="16">
        <f>VLOOKUP(A51,'Strip SKU Combination'!$B$2:$H$65,4,FALSE)</f>
        <v/>
      </c>
      <c r="D51" s="16">
        <f>VLOOKUP(A51,'Strip SKU Combination'!$B$2:$H$65,5,FALSE)</f>
        <v/>
      </c>
      <c r="E51" s="16">
        <f>VLOOKUP(A51,'Strip SKU Combination'!$B$2:$H$65,6,FALSE)</f>
        <v/>
      </c>
      <c r="F51" s="16">
        <f>VLOOKUP(A51,'Strip SKU Combination'!$B$2:$H$65,7,FALSE)</f>
        <v/>
      </c>
      <c r="G51" s="20" t="n"/>
      <c r="H51" s="6" t="n"/>
    </row>
    <row r="52">
      <c r="A52" s="20" t="inlineStr">
        <is>
          <t>RQ5SOSD</t>
        </is>
      </c>
      <c r="B52" s="16">
        <f>VLOOKUP(A52,'Strip SKU Combination'!$B$2:$H$65,3,FALSE)</f>
        <v/>
      </c>
      <c r="C52" s="16">
        <f>VLOOKUP(A52,'Strip SKU Combination'!$B$2:$H$65,4,FALSE)</f>
        <v/>
      </c>
      <c r="D52" s="16">
        <f>VLOOKUP(A52,'Strip SKU Combination'!$B$2:$H$65,5,FALSE)</f>
        <v/>
      </c>
      <c r="E52" s="16">
        <f>VLOOKUP(A52,'Strip SKU Combination'!$B$2:$H$65,6,FALSE)</f>
        <v/>
      </c>
      <c r="F52" s="16">
        <f>VLOOKUP(A52,'Strip SKU Combination'!$B$2:$H$65,7,FALSE)</f>
        <v/>
      </c>
      <c r="G52" s="20" t="n"/>
      <c r="H52" s="6" t="n"/>
    </row>
    <row r="53">
      <c r="A53" s="20" t="inlineStr">
        <is>
          <t>RQ5SOB</t>
        </is>
      </c>
      <c r="B53" s="16">
        <f>VLOOKUP(A53,'Strip SKU Combination'!$B$2:$H$65,3,FALSE)</f>
        <v/>
      </c>
      <c r="C53" s="16">
        <f>VLOOKUP(A53,'Strip SKU Combination'!$B$2:$H$65,4,FALSE)</f>
        <v/>
      </c>
      <c r="D53" s="16">
        <f>VLOOKUP(A53,'Strip SKU Combination'!$B$2:$H$65,5,FALSE)</f>
        <v/>
      </c>
      <c r="E53" s="16">
        <f>VLOOKUP(A53,'Strip SKU Combination'!$B$2:$H$65,6,FALSE)</f>
        <v/>
      </c>
      <c r="F53" s="16">
        <f>VLOOKUP(A53,'Strip SKU Combination'!$B$2:$H$65,7,FALSE)</f>
        <v/>
      </c>
      <c r="G53" s="20" t="n"/>
      <c r="H53" s="6" t="n"/>
    </row>
    <row r="54">
      <c r="A54" s="20" t="inlineStr">
        <is>
          <t>RQ6SRB</t>
        </is>
      </c>
      <c r="B54" s="16">
        <f>VLOOKUP(A54,'Strip SKU Combination'!$B$2:$H$65,3,FALSE)</f>
        <v/>
      </c>
      <c r="C54" s="16">
        <f>VLOOKUP(A54,'Strip SKU Combination'!$B$2:$H$65,4,FALSE)</f>
        <v/>
      </c>
      <c r="D54" s="16">
        <f>VLOOKUP(A54,'Strip SKU Combination'!$B$2:$H$65,5,FALSE)</f>
        <v/>
      </c>
      <c r="E54" s="16">
        <f>VLOOKUP(A54,'Strip SKU Combination'!$B$2:$H$65,6,FALSE)</f>
        <v/>
      </c>
      <c r="F54" s="16">
        <f>VLOOKUP(A54,'Strip SKU Combination'!$B$2:$H$65,7,FALSE)</f>
        <v/>
      </c>
      <c r="G54" s="20" t="n"/>
      <c r="H54" s="6" t="n"/>
    </row>
    <row r="55">
      <c r="A55" s="20" t="inlineStr">
        <is>
          <t>RQ6SRS</t>
        </is>
      </c>
      <c r="B55" s="16">
        <f>VLOOKUP(A55,'Strip SKU Combination'!$B$2:$H$65,3,FALSE)</f>
        <v/>
      </c>
      <c r="C55" s="16">
        <f>VLOOKUP(A55,'Strip SKU Combination'!$B$2:$H$65,4,FALSE)</f>
        <v/>
      </c>
      <c r="D55" s="16">
        <f>VLOOKUP(A55,'Strip SKU Combination'!$B$2:$H$65,5,FALSE)</f>
        <v/>
      </c>
      <c r="E55" s="16">
        <f>VLOOKUP(A55,'Strip SKU Combination'!$B$2:$H$65,6,FALSE)</f>
        <v/>
      </c>
      <c r="F55" s="16">
        <f>VLOOKUP(A55,'Strip SKU Combination'!$B$2:$H$65,7,FALSE)</f>
        <v/>
      </c>
      <c r="G55" s="20" t="n"/>
      <c r="H55" s="6" t="n"/>
    </row>
    <row r="56">
      <c r="A56" s="20" t="inlineStr">
        <is>
          <t>RQ6SOB</t>
        </is>
      </c>
      <c r="B56" s="16">
        <f>VLOOKUP(A56,'Strip SKU Combination'!$B$2:$H$65,3,FALSE)</f>
        <v/>
      </c>
      <c r="C56" s="16">
        <f>VLOOKUP(A56,'Strip SKU Combination'!$B$2:$H$65,4,FALSE)</f>
        <v/>
      </c>
      <c r="D56" s="16">
        <f>VLOOKUP(A56,'Strip SKU Combination'!$B$2:$H$65,5,FALSE)</f>
        <v/>
      </c>
      <c r="E56" s="16">
        <f>VLOOKUP(A56,'Strip SKU Combination'!$B$2:$H$65,6,FALSE)</f>
        <v/>
      </c>
      <c r="F56" s="16">
        <f>VLOOKUP(A56,'Strip SKU Combination'!$B$2:$H$65,7,FALSE)</f>
        <v/>
      </c>
      <c r="G56" s="20" t="n"/>
      <c r="H56" s="6" t="n"/>
    </row>
    <row r="57">
      <c r="A57" s="20" t="inlineStr">
        <is>
          <t>RQ6SOS</t>
        </is>
      </c>
      <c r="B57" s="16">
        <f>VLOOKUP(A57,'Strip SKU Combination'!$B$2:$H$65,3,FALSE)</f>
        <v/>
      </c>
      <c r="C57" s="16">
        <f>VLOOKUP(A57,'Strip SKU Combination'!$B$2:$H$65,4,FALSE)</f>
        <v/>
      </c>
      <c r="D57" s="16">
        <f>VLOOKUP(A57,'Strip SKU Combination'!$B$2:$H$65,5,FALSE)</f>
        <v/>
      </c>
      <c r="E57" s="16">
        <f>VLOOKUP(A57,'Strip SKU Combination'!$B$2:$H$65,6,FALSE)</f>
        <v/>
      </c>
      <c r="F57" s="16">
        <f>VLOOKUP(A57,'Strip SKU Combination'!$B$2:$H$65,7,FALSE)</f>
        <v/>
      </c>
      <c r="G57" s="20" t="n"/>
      <c r="H57" s="6" t="n"/>
    </row>
    <row r="58">
      <c r="A58" s="20" t="inlineStr">
        <is>
          <t>RQ7SRB</t>
        </is>
      </c>
      <c r="B58" s="16">
        <f>VLOOKUP(A58,'Strip SKU Combination'!$B$2:$H$65,3,FALSE)</f>
        <v/>
      </c>
      <c r="C58" s="16">
        <f>VLOOKUP(A58,'Strip SKU Combination'!$B$2:$H$65,4,FALSE)</f>
        <v/>
      </c>
      <c r="D58" s="16">
        <f>VLOOKUP(A58,'Strip SKU Combination'!$B$2:$H$65,5,FALSE)</f>
        <v/>
      </c>
      <c r="E58" s="16">
        <f>VLOOKUP(A58,'Strip SKU Combination'!$B$2:$H$65,6,FALSE)</f>
        <v/>
      </c>
      <c r="F58" s="16">
        <f>VLOOKUP(A58,'Strip SKU Combination'!$B$2:$H$65,7,FALSE)</f>
        <v/>
      </c>
      <c r="G58" s="20" t="n"/>
      <c r="H58" s="6" t="n"/>
    </row>
    <row r="59">
      <c r="A59" s="20" t="inlineStr">
        <is>
          <t>RQ7SRS</t>
        </is>
      </c>
      <c r="B59" s="16">
        <f>VLOOKUP(A59,'Strip SKU Combination'!$B$2:$H$65,3,FALSE)</f>
        <v/>
      </c>
      <c r="C59" s="16">
        <f>VLOOKUP(A59,'Strip SKU Combination'!$B$2:$H$65,4,FALSE)</f>
        <v/>
      </c>
      <c r="D59" s="16">
        <f>VLOOKUP(A59,'Strip SKU Combination'!$B$2:$H$65,5,FALSE)</f>
        <v/>
      </c>
      <c r="E59" s="16">
        <f>VLOOKUP(A59,'Strip SKU Combination'!$B$2:$H$65,6,FALSE)</f>
        <v/>
      </c>
      <c r="F59" s="16">
        <f>VLOOKUP(A59,'Strip SKU Combination'!$B$2:$H$65,7,FALSE)</f>
        <v/>
      </c>
      <c r="G59" s="20" t="n"/>
      <c r="H59" s="6" t="n"/>
    </row>
    <row r="60">
      <c r="A60" s="20" t="inlineStr">
        <is>
          <t>RQ7SOB</t>
        </is>
      </c>
      <c r="B60" s="16">
        <f>VLOOKUP(A60,'Strip SKU Combination'!$B$2:$H$65,3,FALSE)</f>
        <v/>
      </c>
      <c r="C60" s="16">
        <f>VLOOKUP(A60,'Strip SKU Combination'!$B$2:$H$65,4,FALSE)</f>
        <v/>
      </c>
      <c r="D60" s="16">
        <f>VLOOKUP(A60,'Strip SKU Combination'!$B$2:$H$65,5,FALSE)</f>
        <v/>
      </c>
      <c r="E60" s="16">
        <f>VLOOKUP(A60,'Strip SKU Combination'!$B$2:$H$65,6,FALSE)</f>
        <v/>
      </c>
      <c r="F60" s="16">
        <f>VLOOKUP(A60,'Strip SKU Combination'!$B$2:$H$65,7,FALSE)</f>
        <v/>
      </c>
      <c r="G60" s="20" t="n"/>
      <c r="H60" s="6" t="n"/>
    </row>
    <row r="61">
      <c r="A61" s="20" t="inlineStr">
        <is>
          <t>RQ7SOS</t>
        </is>
      </c>
      <c r="B61" s="16">
        <f>VLOOKUP(A61,'Strip SKU Combination'!$B$2:$H$65,3,FALSE)</f>
        <v/>
      </c>
      <c r="C61" s="16">
        <f>VLOOKUP(A61,'Strip SKU Combination'!$B$2:$H$65,4,FALSE)</f>
        <v/>
      </c>
      <c r="D61" s="16">
        <f>VLOOKUP(A61,'Strip SKU Combination'!$B$2:$H$65,5,FALSE)</f>
        <v/>
      </c>
      <c r="E61" s="16">
        <f>VLOOKUP(A61,'Strip SKU Combination'!$B$2:$H$65,6,FALSE)</f>
        <v/>
      </c>
      <c r="F61" s="16">
        <f>VLOOKUP(A61,'Strip SKU Combination'!$B$2:$H$65,7,FALSE)</f>
        <v/>
      </c>
      <c r="G61" s="20" t="n"/>
      <c r="H61" s="6" t="n"/>
    </row>
    <row r="62">
      <c r="A62" s="20" t="inlineStr">
        <is>
          <t>RT112SRS</t>
        </is>
      </c>
      <c r="B62" s="16">
        <f>VLOOKUP(A62,'Strip SKU Combination'!$B$2:$H$65,3,FALSE)</f>
        <v/>
      </c>
      <c r="C62" s="16">
        <f>VLOOKUP(A62,'Strip SKU Combination'!$B$2:$H$65,4,FALSE)</f>
        <v/>
      </c>
      <c r="D62" s="16">
        <f>VLOOKUP(A62,'Strip SKU Combination'!$B$2:$H$65,5,FALSE)</f>
        <v/>
      </c>
      <c r="E62" s="16">
        <f>VLOOKUP(A62,'Strip SKU Combination'!$B$2:$H$65,6,FALSE)</f>
        <v/>
      </c>
      <c r="F62" s="16">
        <f>VLOOKUP(A62,'Strip SKU Combination'!$B$2:$H$65,7,FALSE)</f>
        <v/>
      </c>
      <c r="G62" s="20" t="n"/>
      <c r="H62" s="6" t="n"/>
    </row>
    <row r="63">
      <c r="A63" s="20" t="inlineStr">
        <is>
          <t>RT112SOS</t>
        </is>
      </c>
      <c r="B63" s="16">
        <f>VLOOKUP(A63,'Strip SKU Combination'!$B$2:$H$65,3,FALSE)</f>
        <v/>
      </c>
      <c r="C63" s="16">
        <f>VLOOKUP(A63,'Strip SKU Combination'!$B$2:$H$65,4,FALSE)</f>
        <v/>
      </c>
      <c r="D63" s="16">
        <f>VLOOKUP(A63,'Strip SKU Combination'!$B$2:$H$65,5,FALSE)</f>
        <v/>
      </c>
      <c r="E63" s="16">
        <f>VLOOKUP(A63,'Strip SKU Combination'!$B$2:$H$65,6,FALSE)</f>
        <v/>
      </c>
      <c r="F63" s="16">
        <f>VLOOKUP(A63,'Strip SKU Combination'!$B$2:$H$65,7,FALSE)</f>
        <v/>
      </c>
      <c r="G63" s="20" t="n"/>
      <c r="H63" s="6" t="n"/>
    </row>
    <row r="64">
      <c r="A64" s="20" t="inlineStr">
        <is>
          <t>RT2SRSNB-24</t>
        </is>
      </c>
      <c r="B64" s="16">
        <f>VLOOKUP(A64,'Strip SKU Combination'!$B$2:$H$65,3,FALSE)</f>
        <v/>
      </c>
      <c r="C64" s="16">
        <f>VLOOKUP(A64,'Strip SKU Combination'!$B$2:$H$65,4,FALSE)</f>
        <v/>
      </c>
      <c r="D64" s="16">
        <f>VLOOKUP(A64,'Strip SKU Combination'!$B$2:$H$65,5,FALSE)</f>
        <v/>
      </c>
      <c r="E64" s="16">
        <f>VLOOKUP(A64,'Strip SKU Combination'!$B$2:$H$65,6,FALSE)</f>
        <v/>
      </c>
      <c r="F64" s="16">
        <f>VLOOKUP(A64,'Strip SKU Combination'!$B$2:$H$65,7,FALSE)</f>
        <v/>
      </c>
      <c r="G64" s="20" t="n"/>
      <c r="H64" s="6" t="n"/>
    </row>
    <row r="65">
      <c r="A65" s="20" t="inlineStr">
        <is>
          <t>RT2SOSNB-24</t>
        </is>
      </c>
      <c r="B65" s="16">
        <f>VLOOKUP(A65,'Strip SKU Combination'!$B$2:$H$65,3,FALSE)</f>
        <v/>
      </c>
      <c r="C65" s="16">
        <f>VLOOKUP(A65,'Strip SKU Combination'!$B$2:$H$65,4,FALSE)</f>
        <v/>
      </c>
      <c r="D65" s="16">
        <f>VLOOKUP(A65,'Strip SKU Combination'!$B$2:$H$65,5,FALSE)</f>
        <v/>
      </c>
      <c r="E65" s="16">
        <f>VLOOKUP(A65,'Strip SKU Combination'!$B$2:$H$65,6,FALSE)</f>
        <v/>
      </c>
      <c r="F65" s="16">
        <f>VLOOKUP(A65,'Strip SKU Combination'!$B$2:$H$65,7,FALSE)</f>
        <v/>
      </c>
      <c r="G65" s="20" t="n"/>
      <c r="H65" s="6" t="n"/>
    </row>
  </sheetData>
  <autoFilter ref="A1:H65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Niko Utash</dc:creator>
  <dcterms:created xsi:type="dcterms:W3CDTF">2026-01-20T18:53:30Z</dcterms:created>
  <dcterms:modified xsi:type="dcterms:W3CDTF">2026-04-14T01:54:57Z</dcterms:modified>
  <cp:lastModifiedBy>Niko Utash</cp:lastModifiedBy>
</cp:coreProperties>
</file>