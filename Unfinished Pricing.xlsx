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:\2025\NewForecastingModel\OMPforecasting5\"/>
    </mc:Choice>
  </mc:AlternateContent>
  <xr:revisionPtr revIDLastSave="0" documentId="13_ncr:1_{5C9989AC-7BF6-48DA-A5B4-BE464B8A81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rrent Pricing" sheetId="1" r:id="rId1"/>
    <sheet name="Stats" sheetId="4" r:id="rId2"/>
    <sheet name="Merrick" sheetId="2" r:id="rId3"/>
    <sheet name="Freight" sheetId="3" r:id="rId4"/>
  </sheets>
  <externalReferences>
    <externalReference r:id="rId5"/>
  </externalReferences>
  <definedNames>
    <definedName name="_xlnm._FilterDatabase" localSheetId="0" hidden="1">'Current Pricing'!$A$1:$AG$75</definedName>
    <definedName name="_xlnm._FilterDatabase" localSheetId="2" hidden="1">Merrick!$A$1:$G$46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9" i="2"/>
  <c r="G10" i="2"/>
  <c r="G11" i="2"/>
  <c r="G12" i="2"/>
  <c r="G13" i="2"/>
  <c r="G14" i="2"/>
  <c r="G16" i="2"/>
  <c r="M38" i="1" s="1"/>
  <c r="L38" i="1" s="1"/>
  <c r="G17" i="2"/>
  <c r="G18" i="2"/>
  <c r="G20" i="2"/>
  <c r="G21" i="2"/>
  <c r="G22" i="2"/>
  <c r="G23" i="2"/>
  <c r="G25" i="2"/>
  <c r="G26" i="2"/>
  <c r="G27" i="2"/>
  <c r="G28" i="2"/>
  <c r="G29" i="2"/>
  <c r="M61" i="1" s="1"/>
  <c r="G30" i="2"/>
  <c r="G31" i="2"/>
  <c r="G34" i="2"/>
  <c r="G35" i="2"/>
  <c r="G36" i="2"/>
  <c r="G38" i="2"/>
  <c r="G39" i="2"/>
  <c r="G40" i="2"/>
  <c r="G42" i="2"/>
  <c r="G43" i="2"/>
  <c r="G45" i="2"/>
  <c r="G46" i="2"/>
  <c r="G2" i="2"/>
  <c r="M37" i="1" s="1"/>
  <c r="L37" i="1" s="1"/>
  <c r="J10" i="1"/>
  <c r="J9" i="1"/>
  <c r="J30" i="1"/>
  <c r="J33" i="1"/>
  <c r="J25" i="1"/>
  <c r="J23" i="1"/>
  <c r="J35" i="1"/>
  <c r="J38" i="1"/>
  <c r="J37" i="1"/>
  <c r="J48" i="1"/>
  <c r="J46" i="1"/>
  <c r="M75" i="1"/>
  <c r="M74" i="1"/>
  <c r="M73" i="1"/>
  <c r="M72" i="1"/>
  <c r="M71" i="1"/>
  <c r="M70" i="1"/>
  <c r="M69" i="1"/>
  <c r="M68" i="1"/>
  <c r="M67" i="1"/>
  <c r="M66" i="1"/>
  <c r="M65" i="1"/>
  <c r="M64" i="1"/>
  <c r="M62" i="1"/>
  <c r="M60" i="1"/>
  <c r="M58" i="1"/>
  <c r="M56" i="1"/>
  <c r="M55" i="1"/>
  <c r="M54" i="1"/>
  <c r="M53" i="1"/>
  <c r="M52" i="1"/>
  <c r="M51" i="1"/>
  <c r="M50" i="1"/>
  <c r="M49" i="1"/>
  <c r="M48" i="1"/>
  <c r="M47" i="1"/>
  <c r="M46" i="1"/>
  <c r="L46" i="1" s="1"/>
  <c r="M45" i="1"/>
  <c r="M44" i="1"/>
  <c r="M43" i="1"/>
  <c r="M42" i="1"/>
  <c r="M41" i="1"/>
  <c r="M40" i="1"/>
  <c r="M39" i="1"/>
  <c r="M36" i="1"/>
  <c r="L36" i="1" s="1"/>
  <c r="M35" i="1"/>
  <c r="M34" i="1"/>
  <c r="M32" i="1"/>
  <c r="M31" i="1"/>
  <c r="M30" i="1"/>
  <c r="M28" i="1"/>
  <c r="M27" i="1"/>
  <c r="M26" i="1"/>
  <c r="M24" i="1"/>
  <c r="M23" i="1"/>
  <c r="M22" i="1"/>
  <c r="M20" i="1"/>
  <c r="M19" i="1"/>
  <c r="M18" i="1"/>
  <c r="M16" i="1"/>
  <c r="M15" i="1"/>
  <c r="M14" i="1"/>
  <c r="M12" i="1"/>
  <c r="M11" i="1"/>
  <c r="M9" i="1"/>
  <c r="M8" i="1"/>
  <c r="M7" i="1"/>
  <c r="M5" i="1"/>
  <c r="M4" i="1"/>
  <c r="M3" i="1"/>
  <c r="M2" i="1"/>
  <c r="J34" i="1"/>
</calcChain>
</file>

<file path=xl/sharedStrings.xml><?xml version="1.0" encoding="utf-8"?>
<sst xmlns="http://schemas.openxmlformats.org/spreadsheetml/2006/main" count="859" uniqueCount="233">
  <si>
    <t>Item Number</t>
  </si>
  <si>
    <t xml:space="preserve"> Thickness </t>
  </si>
  <si>
    <t xml:space="preserve"> Width </t>
  </si>
  <si>
    <t xml:space="preserve"> Species </t>
  </si>
  <si>
    <t xml:space="preserve"> Grade/Cut </t>
  </si>
  <si>
    <t xml:space="preserve"> Edge </t>
  </si>
  <si>
    <t>Appalachian</t>
  </si>
  <si>
    <t>Macon</t>
  </si>
  <si>
    <t>Indiana</t>
  </si>
  <si>
    <t>Lebanon</t>
  </si>
  <si>
    <t>Dayspring</t>
  </si>
  <si>
    <t>Merrick</t>
  </si>
  <si>
    <t>Merrick From Sheet</t>
  </si>
  <si>
    <t>Orillia</t>
  </si>
  <si>
    <t>Mullican</t>
  </si>
  <si>
    <t>DF512PI</t>
  </si>
  <si>
    <t xml:space="preserve"> 1" </t>
  </si>
  <si>
    <t xml:space="preserve"> 6" </t>
  </si>
  <si>
    <t xml:space="preserve"> Ipe </t>
  </si>
  <si>
    <t xml:space="preserve">                              -  </t>
  </si>
  <si>
    <t xml:space="preserve">              -  </t>
  </si>
  <si>
    <t>DF512PIL</t>
  </si>
  <si>
    <t>RH112QRSNB-15</t>
  </si>
  <si>
    <t xml:space="preserve"> 1/2" </t>
  </si>
  <si>
    <t xml:space="preserve"> 1-1/2" </t>
  </si>
  <si>
    <t xml:space="preserve"> Red Oak </t>
  </si>
  <si>
    <t xml:space="preserve"> Rift &amp; Quarter </t>
  </si>
  <si>
    <t>RH112QRSNB-24</t>
  </si>
  <si>
    <t>RH112QRSNB-15/
RH112QRSNB-24</t>
  </si>
  <si>
    <t>RH112SRSNB</t>
  </si>
  <si>
    <t xml:space="preserve"> Select </t>
  </si>
  <si>
    <t>RH112SRSNB-15</t>
  </si>
  <si>
    <t>RH112SRSNB-24</t>
  </si>
  <si>
    <t>RH112SRSNB/
RH112SRSNB-15/
RH112SRSNB-24</t>
  </si>
  <si>
    <t>RH112QOSNB-15</t>
  </si>
  <si>
    <t xml:space="preserve"> White Oak </t>
  </si>
  <si>
    <t>RH112QOSNB-24</t>
  </si>
  <si>
    <t>RH112QOSNB-15/
RH112QOSNB-24</t>
  </si>
  <si>
    <t>RH112SOSNB</t>
  </si>
  <si>
    <t>RH112SOSNB-15</t>
  </si>
  <si>
    <t>RH112SOSNB-24</t>
  </si>
  <si>
    <t>RH112SOSNB/
RH112SOSNB-15/
RH112SOSNB-24</t>
  </si>
  <si>
    <t>RH2QRSNB</t>
  </si>
  <si>
    <t xml:space="preserve"> 2" </t>
  </si>
  <si>
    <t>RH2QRSNB-20</t>
  </si>
  <si>
    <t>RH2QRSNB-24</t>
  </si>
  <si>
    <t>RH2QRSNB/
RH2QRSNB-20/
RH2QRSNB-24</t>
  </si>
  <si>
    <t>RH2SRS</t>
  </si>
  <si>
    <t>RH2SRSNB</t>
  </si>
  <si>
    <t>RH2SRSNB-20</t>
  </si>
  <si>
    <t>RH2SRS/
RH2SRSNB/
RH2SRSNB-20</t>
  </si>
  <si>
    <t>RH2QOSNB</t>
  </si>
  <si>
    <t>RH2QOSNB-20</t>
  </si>
  <si>
    <t>RH2QOSNB-24</t>
  </si>
  <si>
    <t>RH2QOSNB/
RH2QOSNB-20/
RH2QOSNB-24</t>
  </si>
  <si>
    <t>RH2SOSNB</t>
  </si>
  <si>
    <t>RH2SOSNB-20</t>
  </si>
  <si>
    <t>RH2SOSNB-24</t>
  </si>
  <si>
    <t>RH2SOSNB/
RH2SOSNB-20/
RH2SOSNB-24</t>
  </si>
  <si>
    <t>RQ112SRSNB</t>
  </si>
  <si>
    <t xml:space="preserve"> 3/4" </t>
  </si>
  <si>
    <t>RQ112SOSNB</t>
  </si>
  <si>
    <t>RQ214FMS</t>
  </si>
  <si>
    <t xml:space="preserve"> 2-1/4" </t>
  </si>
  <si>
    <t xml:space="preserve"> Maple </t>
  </si>
  <si>
    <t xml:space="preserve"> 1st/Select </t>
  </si>
  <si>
    <t>RQ214SRSSP</t>
  </si>
  <si>
    <t>RQ214QOSSP</t>
  </si>
  <si>
    <t>RQ214SOSSP</t>
  </si>
  <si>
    <t xml:space="preserve"> Select &amp; Better </t>
  </si>
  <si>
    <t>RQ3SRB</t>
  </si>
  <si>
    <t xml:space="preserve"> 3" </t>
  </si>
  <si>
    <t xml:space="preserve"> Bevel </t>
  </si>
  <si>
    <t>RQ3SRS</t>
  </si>
  <si>
    <t xml:space="preserve"> Square </t>
  </si>
  <si>
    <t>RQ3SOB</t>
  </si>
  <si>
    <t>RQ3SOS</t>
  </si>
  <si>
    <t>RQ314SDS</t>
  </si>
  <si>
    <t xml:space="preserve"> 3-1/4" </t>
  </si>
  <si>
    <t xml:space="preserve"> Douglas Fir </t>
  </si>
  <si>
    <t>RQ314FMS</t>
  </si>
  <si>
    <t>RQ314SRSSP</t>
  </si>
  <si>
    <t>RQ314QOSSP</t>
  </si>
  <si>
    <t>RQ314SOSSP</t>
  </si>
  <si>
    <t>RQ4SRB</t>
  </si>
  <si>
    <t xml:space="preserve"> 4" </t>
  </si>
  <si>
    <t>RQ4SRS</t>
  </si>
  <si>
    <t>RQ4SOB</t>
  </si>
  <si>
    <t>RQ4SOS</t>
  </si>
  <si>
    <t>RQ5FMS</t>
  </si>
  <si>
    <t xml:space="preserve"> 5" </t>
  </si>
  <si>
    <t xml:space="preserve"> 1st </t>
  </si>
  <si>
    <t>RQ5SRB</t>
  </si>
  <si>
    <t>RQ5SRS</t>
  </si>
  <si>
    <t>RQ5SRSI</t>
  </si>
  <si>
    <t>RQ5SRS/
RQ5SRSI</t>
  </si>
  <si>
    <t>RQ5SWS</t>
  </si>
  <si>
    <t xml:space="preserve"> Walnut </t>
  </si>
  <si>
    <t>RQ5SOB</t>
  </si>
  <si>
    <t>RQ5SOS</t>
  </si>
  <si>
    <t>RQ5SOSD</t>
  </si>
  <si>
    <t>RQ5SOS/
RQ5SOSD</t>
  </si>
  <si>
    <t>RQ6SRB</t>
  </si>
  <si>
    <t>RQ6SRS</t>
  </si>
  <si>
    <t>RQ6SOB</t>
  </si>
  <si>
    <t>RQ6SOS</t>
  </si>
  <si>
    <t>RQ7SRB</t>
  </si>
  <si>
    <t xml:space="preserve"> 7" </t>
  </si>
  <si>
    <t>RQ7SRS</t>
  </si>
  <si>
    <t>RQ7SOB</t>
  </si>
  <si>
    <t>RQ7SOS</t>
  </si>
  <si>
    <t>RT112SRS</t>
  </si>
  <si>
    <t xml:space="preserve"> 3/8" </t>
  </si>
  <si>
    <t>RT112SOS</t>
  </si>
  <si>
    <t>RT2SRSNB-24</t>
  </si>
  <si>
    <t>RT2SOSNB-24</t>
  </si>
  <si>
    <t>OMP Item Number</t>
  </si>
  <si>
    <t>Species</t>
  </si>
  <si>
    <t>Category</t>
  </si>
  <si>
    <t>Merrick Item Number</t>
  </si>
  <si>
    <t>Grade</t>
  </si>
  <si>
    <t>Width</t>
  </si>
  <si>
    <t>Price</t>
  </si>
  <si>
    <t>Last Updated</t>
  </si>
  <si>
    <t>Red Oak</t>
  </si>
  <si>
    <t>STRIP PRODUCTS</t>
  </si>
  <si>
    <t>ROSB214MH</t>
  </si>
  <si>
    <t>SEL/BTR</t>
  </si>
  <si>
    <t>2 ¼"</t>
  </si>
  <si>
    <t>RO1C214MH</t>
  </si>
  <si>
    <t>1 COM</t>
  </si>
  <si>
    <t>NONE</t>
  </si>
  <si>
    <t>RO2C214MH</t>
  </si>
  <si>
    <t>2 COM</t>
  </si>
  <si>
    <t>ROSB314MH</t>
  </si>
  <si>
    <t>3 ¼"</t>
  </si>
  <si>
    <t>RO1C314MH</t>
  </si>
  <si>
    <t>RO2C314MH</t>
  </si>
  <si>
    <t>PLANK PRODUCTS</t>
  </si>
  <si>
    <t>Item</t>
  </si>
  <si>
    <t>ROSB4MH</t>
  </si>
  <si>
    <t>4"</t>
  </si>
  <si>
    <t>RO1C4MH</t>
  </si>
  <si>
    <t>RO2C4MH</t>
  </si>
  <si>
    <t>ROSB5MH</t>
  </si>
  <si>
    <t>5"</t>
  </si>
  <si>
    <t>RO1C5MH</t>
  </si>
  <si>
    <t>RO2C5MH</t>
  </si>
  <si>
    <t>White Oak</t>
  </si>
  <si>
    <t>WOSB214MH</t>
  </si>
  <si>
    <t>WO1C214MH</t>
  </si>
  <si>
    <t>WO2C214MH</t>
  </si>
  <si>
    <t>WOSB314MH</t>
  </si>
  <si>
    <t>WO1C314MH</t>
  </si>
  <si>
    <t>WO2C314MH</t>
  </si>
  <si>
    <t>WOMR314N</t>
  </si>
  <si>
    <t>MILL RUN</t>
  </si>
  <si>
    <t>WOSB4MH</t>
  </si>
  <si>
    <t>WO1C4MH</t>
  </si>
  <si>
    <t>WO2C4MH</t>
  </si>
  <si>
    <t>WOMR4MH</t>
  </si>
  <si>
    <t>WOSB5MH</t>
  </si>
  <si>
    <t>WO1C5MH</t>
  </si>
  <si>
    <t>WO2C5MH</t>
  </si>
  <si>
    <t>WOMR5MH</t>
  </si>
  <si>
    <t>Hard Maple</t>
  </si>
  <si>
    <t>2 1/4"</t>
  </si>
  <si>
    <t>HM1ST2SF</t>
  </si>
  <si>
    <t>1ST</t>
  </si>
  <si>
    <t>HM2B2SF</t>
  </si>
  <si>
    <t>2ND &amp; BTR</t>
  </si>
  <si>
    <t>HM3D2SF</t>
  </si>
  <si>
    <t>3RD</t>
  </si>
  <si>
    <t>3 1/4"</t>
  </si>
  <si>
    <t>HM1ST314SF</t>
  </si>
  <si>
    <t>HM2B314SF</t>
  </si>
  <si>
    <t>HM3D314SF</t>
  </si>
  <si>
    <t>Hickory</t>
  </si>
  <si>
    <t>HIMR2N</t>
  </si>
  <si>
    <t>HIMR314MH</t>
  </si>
  <si>
    <t>HIMR4MH</t>
  </si>
  <si>
    <t>HIMR5MH</t>
  </si>
  <si>
    <t>Bevel</t>
  </si>
  <si>
    <t xml:space="preserve">
RQ5SWB</t>
  </si>
  <si>
    <t>Origin</t>
  </si>
  <si>
    <t>ST</t>
  </si>
  <si>
    <t>Destination</t>
  </si>
  <si>
    <t>Size</t>
  </si>
  <si>
    <t>Rate</t>
  </si>
  <si>
    <t>Burnside</t>
  </si>
  <si>
    <t>KY</t>
  </si>
  <si>
    <t>Van Nuys</t>
  </si>
  <si>
    <t>CA</t>
  </si>
  <si>
    <t>Campbellsville</t>
  </si>
  <si>
    <t>Cook</t>
  </si>
  <si>
    <t>MN</t>
  </si>
  <si>
    <t>Ashawa Bay</t>
  </si>
  <si>
    <t>Hortonville</t>
  </si>
  <si>
    <t>WI</t>
  </si>
  <si>
    <t>Middlefield</t>
  </si>
  <si>
    <t>OH</t>
  </si>
  <si>
    <t>Sheoga</t>
  </si>
  <si>
    <t>Ronceverte</t>
  </si>
  <si>
    <t>WV</t>
  </si>
  <si>
    <t>Spencer</t>
  </si>
  <si>
    <t>IN</t>
  </si>
  <si>
    <t>Valparaiso</t>
  </si>
  <si>
    <t>Vendor</t>
  </si>
  <si>
    <t>Yesteryear</t>
  </si>
  <si>
    <t>Canada</t>
  </si>
  <si>
    <t>ON L3V 0Z2</t>
  </si>
  <si>
    <t>ON</t>
  </si>
  <si>
    <t>107 Commerce Rd</t>
  </si>
  <si>
    <t>5.1.2026</t>
  </si>
  <si>
    <t>Pallets per Container</t>
  </si>
  <si>
    <t>Appalachian SF/Pallet</t>
  </si>
  <si>
    <t>Macon SF/Pallet</t>
  </si>
  <si>
    <t>Indiana SF/Pallet</t>
  </si>
  <si>
    <t>Lebanon SF/Pallet</t>
  </si>
  <si>
    <t>Dayspring SF/Pallet</t>
  </si>
  <si>
    <t>Merrick SF/Pallet</t>
  </si>
  <si>
    <t>Merrick From Sheet SF/Pallet</t>
  </si>
  <si>
    <t>Orillia SF/Pallet</t>
  </si>
  <si>
    <t>Mullican SF/Pallet</t>
  </si>
  <si>
    <t>Appalachian Pallets/Container</t>
  </si>
  <si>
    <t>Macon Pallets/Container</t>
  </si>
  <si>
    <t>Indiana Pallets/Container</t>
  </si>
  <si>
    <t>Lebanon Pallets/Container</t>
  </si>
  <si>
    <t>Dayspring Pallets/Container</t>
  </si>
  <si>
    <t>Merrick Pallets/Container</t>
  </si>
  <si>
    <t>Merrick From Sheet Pallets/Container</t>
  </si>
  <si>
    <t>Orillia Pallets/Container</t>
  </si>
  <si>
    <t>Mullican Pallets/Container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</si>
</sst>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242424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FEFE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9" tint="0.59999389629810485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64" fontId="1" fillId="2" borderId="5" xfId="0" applyNumberFormat="1" applyFont="1" applyFill="1" applyBorder="1"/>
    <xf numFmtId="164" fontId="2" fillId="0" borderId="5" xfId="0" applyNumberFormat="1" applyFont="1" applyBorder="1"/>
    <xf numFmtId="164" fontId="0" fillId="0" borderId="0" xfId="0" applyNumberFormat="1"/>
    <xf numFmtId="0" fontId="2" fillId="4" borderId="4" xfId="0" applyFont="1" applyFill="1" applyBorder="1"/>
    <xf numFmtId="0" fontId="2" fillId="4" borderId="7" xfId="0" applyFont="1" applyFill="1" applyBorder="1"/>
    <xf numFmtId="0" fontId="2" fillId="4" borderId="5" xfId="0" applyFont="1" applyFill="1" applyBorder="1"/>
    <xf numFmtId="0" fontId="2" fillId="5" borderId="3" xfId="0" applyFont="1" applyFill="1" applyBorder="1"/>
    <xf numFmtId="0" fontId="3" fillId="5" borderId="5" xfId="0" applyFont="1" applyFill="1" applyBorder="1"/>
    <xf numFmtId="0" fontId="0" fillId="0" borderId="5" xfId="0" applyBorder="1"/>
    <xf numFmtId="8" fontId="0" fillId="0" borderId="5" xfId="0" applyNumberFormat="1" applyBorder="1"/>
    <xf numFmtId="0" fontId="3" fillId="0" borderId="0" xfId="0" applyFont="1"/>
    <xf numFmtId="0" fontId="2" fillId="3" borderId="1" xfId="0" applyFont="1" applyFill="1" applyBorder="1"/>
    <xf numFmtId="0" fontId="4" fillId="6" borderId="5" xfId="0" applyFont="1" applyFill="1" applyBorder="1"/>
    <xf numFmtId="0" fontId="3" fillId="7" borderId="5" xfId="0" applyFont="1" applyFill="1" applyBorder="1"/>
    <xf numFmtId="0" fontId="2" fillId="8" borderId="3" xfId="0" applyFont="1" applyFill="1" applyBorder="1"/>
    <xf numFmtId="0" fontId="2" fillId="9" borderId="3" xfId="0" applyFont="1" applyFill="1" applyBorder="1" applyAlignment="1">
      <alignment wrapText="1"/>
    </xf>
    <xf numFmtId="164" fontId="2" fillId="12" borderId="5" xfId="0" applyNumberFormat="1" applyFont="1" applyFill="1" applyBorder="1"/>
    <xf numFmtId="44" fontId="0" fillId="0" borderId="0" xfId="1" applyFont="1"/>
    <xf numFmtId="14" fontId="0" fillId="13" borderId="0" xfId="0" applyNumberFormat="1" applyFill="1"/>
    <xf numFmtId="0" fontId="5" fillId="10" borderId="1" xfId="0" applyFont="1" applyFill="1" applyBorder="1"/>
    <xf numFmtId="6" fontId="7" fillId="11" borderId="1" xfId="0" applyNumberFormat="1" applyFont="1" applyFill="1" applyBorder="1" applyAlignment="1">
      <alignment wrapText="1"/>
    </xf>
    <xf numFmtId="6" fontId="6" fillId="11" borderId="1" xfId="0" applyNumberFormat="1" applyFont="1" applyFill="1" applyBorder="1"/>
    <xf numFmtId="0" fontId="6" fillId="11" borderId="1" xfId="0" applyFont="1" applyFill="1" applyBorder="1"/>
    <xf numFmtId="0" fontId="0" fillId="0" borderId="1" xfId="0" applyBorder="1"/>
    <xf numFmtId="0" fontId="7" fillId="11" borderId="1" xfId="0" applyFont="1" applyFill="1" applyBorder="1" applyAlignment="1">
      <alignment wrapText="1"/>
    </xf>
    <xf numFmtId="165" fontId="5" fillId="10" borderId="1" xfId="2" applyNumberFormat="1" applyFont="1" applyFill="1" applyBorder="1"/>
    <xf numFmtId="165" fontId="7" fillId="11" borderId="1" xfId="2" applyNumberFormat="1" applyFont="1" applyFill="1" applyBorder="1" applyAlignment="1">
      <alignment wrapText="1"/>
    </xf>
    <xf numFmtId="165" fontId="6" fillId="11" borderId="1" xfId="2" applyNumberFormat="1" applyFont="1" applyFill="1" applyBorder="1"/>
    <xf numFmtId="165" fontId="0" fillId="0" borderId="0" xfId="2" applyNumberFormat="1" applyFont="1"/>
    <xf numFmtId="164" fontId="1" fillId="2" borderId="8" xfId="0" applyNumberFormat="1" applyFont="1" applyFill="1" applyBorder="1"/>
    <xf numFmtId="164" fontId="2" fillId="0" borderId="8" xfId="0" applyNumberFormat="1" applyFont="1" applyBorder="1"/>
    <xf numFmtId="164" fontId="1" fillId="2" borderId="1" xfId="0" applyNumberFormat="1" applyFont="1" applyFill="1" applyBorder="1"/>
    <xf numFmtId="164" fontId="1" fillId="14" borderId="1" xfId="0" applyNumberFormat="1" applyFont="1" applyFill="1" applyBorder="1"/>
    <xf numFmtId="164" fontId="1" fillId="15" borderId="1" xfId="0" applyNumberFormat="1" applyFont="1" applyFill="1" applyBorder="1"/>
    <xf numFmtId="164" fontId="2" fillId="0" borderId="1" xfId="0" applyNumberFormat="1" applyFont="1" applyBorder="1"/>
  </cellXfs>
  <cellStyles count="3">
    <cellStyle name="Comma" xfId="2" builtinId="3"/>
    <cellStyle name="Currency" xfId="1" builtinId="4"/>
    <cellStyle name="Normal" xfId="0" builtinId="0"/>
  </cellStyles>
  <dxfs count="1">
    <dxf>
      <fill>
        <patternFill patternType="solid">
          <fgColor rgb="FF8EA9DB"/>
          <bgColor rgb="FF0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2025\NewForecastingModel\OMPforecasting5\Unfinished%20Pricing%20copy.xlsx" TargetMode="External"/><Relationship Id="rId1" Type="http://schemas.openxmlformats.org/officeDocument/2006/relationships/externalLinkPath" Target="Unfinished%20Pricing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rrent Pricing"/>
      <sheetName val="Merrick"/>
      <sheetName val="Freight"/>
    </sheetNames>
    <sheetDataSet>
      <sheetData sheetId="0">
        <row r="2">
          <cell r="A2" t="str">
            <v>DF512PI</v>
          </cell>
          <cell r="B2" t="str">
            <v xml:space="preserve"> 1" </v>
          </cell>
          <cell r="C2" t="str">
            <v xml:space="preserve"> 6" </v>
          </cell>
          <cell r="D2" t="str">
            <v xml:space="preserve"> Ipe </v>
          </cell>
          <cell r="E2" t="str">
            <v xml:space="preserve">                              -  </v>
          </cell>
          <cell r="F2" t="str">
            <v xml:space="preserve">              -  </v>
          </cell>
          <cell r="G2"/>
          <cell r="H2"/>
          <cell r="I2"/>
          <cell r="J2"/>
        </row>
        <row r="3">
          <cell r="A3" t="str">
            <v>DF512PIL</v>
          </cell>
          <cell r="B3" t="str">
            <v xml:space="preserve"> 1" </v>
          </cell>
          <cell r="C3" t="str">
            <v xml:space="preserve"> 6" </v>
          </cell>
          <cell r="D3" t="str">
            <v xml:space="preserve"> Ipe </v>
          </cell>
          <cell r="E3" t="str">
            <v xml:space="preserve">                              -  </v>
          </cell>
          <cell r="F3" t="str">
            <v xml:space="preserve">              -  </v>
          </cell>
          <cell r="G3"/>
          <cell r="H3"/>
          <cell r="I3"/>
          <cell r="J3"/>
        </row>
        <row r="4">
          <cell r="A4" t="str">
            <v>RH112QRSNB-15</v>
          </cell>
          <cell r="B4" t="str">
            <v xml:space="preserve"> 1/2" </v>
          </cell>
          <cell r="C4" t="str">
            <v xml:space="preserve"> 1-1/2" </v>
          </cell>
          <cell r="D4" t="str">
            <v xml:space="preserve"> Red Oak </v>
          </cell>
          <cell r="E4" t="str">
            <v xml:space="preserve"> Rift &amp; Quarter </v>
          </cell>
          <cell r="F4" t="str">
            <v xml:space="preserve">              -  </v>
          </cell>
          <cell r="G4"/>
          <cell r="H4"/>
          <cell r="I4"/>
          <cell r="J4"/>
        </row>
        <row r="5">
          <cell r="A5" t="str">
            <v>RH112QRSNB-24</v>
          </cell>
          <cell r="B5" t="str">
            <v xml:space="preserve"> 1/2" </v>
          </cell>
          <cell r="C5" t="str">
            <v xml:space="preserve"> 1-1/2" </v>
          </cell>
          <cell r="D5" t="str">
            <v xml:space="preserve"> Red Oak </v>
          </cell>
          <cell r="E5" t="str">
            <v xml:space="preserve"> Rift &amp; Quarter </v>
          </cell>
          <cell r="F5" t="str">
            <v xml:space="preserve">              -  </v>
          </cell>
          <cell r="G5"/>
          <cell r="H5"/>
          <cell r="I5"/>
          <cell r="J5"/>
        </row>
        <row r="6">
          <cell r="A6" t="str">
            <v>RH112QRSNB-15/
RH112QRSNB-24</v>
          </cell>
          <cell r="B6" t="str">
            <v xml:space="preserve"> 1/2" </v>
          </cell>
          <cell r="C6" t="str">
            <v xml:space="preserve"> 1-1/2" </v>
          </cell>
          <cell r="D6" t="str">
            <v xml:space="preserve"> Red Oak </v>
          </cell>
          <cell r="E6" t="str">
            <v xml:space="preserve"> Rift &amp; Quarter </v>
          </cell>
          <cell r="F6" t="str">
            <v xml:space="preserve">              -  </v>
          </cell>
          <cell r="G6"/>
          <cell r="H6"/>
          <cell r="I6"/>
          <cell r="J6"/>
        </row>
        <row r="7">
          <cell r="A7" t="str">
            <v>RH112SRSNB</v>
          </cell>
          <cell r="B7" t="str">
            <v xml:space="preserve"> 1/2" </v>
          </cell>
          <cell r="C7" t="str">
            <v xml:space="preserve"> 1-1/2" </v>
          </cell>
          <cell r="D7" t="str">
            <v xml:space="preserve"> Red Oak </v>
          </cell>
          <cell r="E7" t="str">
            <v xml:space="preserve"> Select </v>
          </cell>
          <cell r="F7" t="str">
            <v xml:space="preserve">              -  </v>
          </cell>
          <cell r="G7"/>
          <cell r="H7"/>
          <cell r="I7"/>
          <cell r="J7"/>
        </row>
        <row r="8">
          <cell r="A8" t="str">
            <v>RH112SRSNB-15</v>
          </cell>
          <cell r="B8" t="str">
            <v xml:space="preserve"> 1/2" </v>
          </cell>
          <cell r="C8" t="str">
            <v xml:space="preserve"> 1-1/2" </v>
          </cell>
          <cell r="D8" t="str">
            <v xml:space="preserve"> Red Oak </v>
          </cell>
          <cell r="E8" t="str">
            <v xml:space="preserve"> Select </v>
          </cell>
          <cell r="F8" t="str">
            <v xml:space="preserve">              -  </v>
          </cell>
          <cell r="G8"/>
          <cell r="H8"/>
          <cell r="I8"/>
          <cell r="J8"/>
        </row>
        <row r="9">
          <cell r="A9" t="str">
            <v>RH112SRSNB-24</v>
          </cell>
          <cell r="B9" t="str">
            <v xml:space="preserve"> 1/2" </v>
          </cell>
          <cell r="C9" t="str">
            <v xml:space="preserve"> 1-1/2" </v>
          </cell>
          <cell r="D9" t="str">
            <v xml:space="preserve"> Red Oak </v>
          </cell>
          <cell r="E9" t="str">
            <v xml:space="preserve"> Select </v>
          </cell>
          <cell r="F9" t="str">
            <v xml:space="preserve">              -  </v>
          </cell>
          <cell r="G9"/>
          <cell r="H9"/>
          <cell r="I9"/>
          <cell r="J9">
            <v>3.1</v>
          </cell>
        </row>
        <row r="10">
          <cell r="A10" t="str">
            <v>RH112SRSNB/
RH112SRSNB-15/
RH112SRSNB-24</v>
          </cell>
          <cell r="B10" t="str">
            <v xml:space="preserve"> 1/2" </v>
          </cell>
          <cell r="C10" t="str">
            <v xml:space="preserve"> 1-1/2" </v>
          </cell>
          <cell r="D10" t="str">
            <v xml:space="preserve"> Red Oak </v>
          </cell>
          <cell r="E10" t="str">
            <v xml:space="preserve"> Select </v>
          </cell>
          <cell r="F10" t="str">
            <v xml:space="preserve">              -  </v>
          </cell>
          <cell r="G10"/>
          <cell r="H10"/>
          <cell r="I10"/>
          <cell r="J10">
            <v>3.1</v>
          </cell>
        </row>
        <row r="11">
          <cell r="A11" t="str">
            <v>RH112QOSNB-15</v>
          </cell>
          <cell r="B11" t="str">
            <v xml:space="preserve"> 1/2" </v>
          </cell>
          <cell r="C11" t="str">
            <v xml:space="preserve"> 1-1/2" </v>
          </cell>
          <cell r="D11" t="str">
            <v xml:space="preserve"> White Oak </v>
          </cell>
          <cell r="E11" t="str">
            <v xml:space="preserve"> Rift &amp; Quarter </v>
          </cell>
          <cell r="F11" t="str">
            <v xml:space="preserve">              -  </v>
          </cell>
          <cell r="G11"/>
          <cell r="H11"/>
          <cell r="I11"/>
          <cell r="J11"/>
        </row>
        <row r="12">
          <cell r="A12" t="str">
            <v>RH112QOSNB-24</v>
          </cell>
          <cell r="B12" t="str">
            <v xml:space="preserve"> 1/2" </v>
          </cell>
          <cell r="C12" t="str">
            <v xml:space="preserve"> 1-1/2" </v>
          </cell>
          <cell r="D12" t="str">
            <v xml:space="preserve"> White Oak </v>
          </cell>
          <cell r="E12" t="str">
            <v xml:space="preserve"> Rift &amp; Quarter </v>
          </cell>
          <cell r="F12" t="str">
            <v xml:space="preserve">              -  </v>
          </cell>
          <cell r="G12"/>
          <cell r="H12"/>
          <cell r="I12"/>
          <cell r="J12"/>
        </row>
        <row r="13">
          <cell r="A13" t="str">
            <v>RH112QOSNB-15/
RH112QOSNB-24</v>
          </cell>
          <cell r="B13" t="str">
            <v xml:space="preserve"> 1/2" </v>
          </cell>
          <cell r="C13" t="str">
            <v xml:space="preserve"> 1-1/2" </v>
          </cell>
          <cell r="D13" t="str">
            <v xml:space="preserve"> White Oak </v>
          </cell>
          <cell r="E13" t="str">
            <v xml:space="preserve"> Rift &amp; Quarter </v>
          </cell>
          <cell r="F13" t="str">
            <v xml:space="preserve">              -  </v>
          </cell>
          <cell r="G13"/>
          <cell r="H13"/>
          <cell r="I13"/>
          <cell r="J13"/>
        </row>
        <row r="14">
          <cell r="A14" t="str">
            <v>RH112SOSNB</v>
          </cell>
          <cell r="B14" t="str">
            <v xml:space="preserve"> 1/2" </v>
          </cell>
          <cell r="C14" t="str">
            <v xml:space="preserve"> 1-1/2" </v>
          </cell>
          <cell r="D14" t="str">
            <v xml:space="preserve"> White Oak </v>
          </cell>
          <cell r="E14" t="str">
            <v xml:space="preserve"> Select </v>
          </cell>
          <cell r="F14" t="str">
            <v xml:space="preserve">              -  </v>
          </cell>
          <cell r="G14"/>
          <cell r="H14"/>
          <cell r="I14"/>
          <cell r="J14"/>
        </row>
        <row r="15">
          <cell r="A15" t="str">
            <v>RH112SOSNB-15</v>
          </cell>
          <cell r="B15" t="str">
            <v xml:space="preserve"> 1/2" </v>
          </cell>
          <cell r="C15" t="str">
            <v xml:space="preserve"> 1-1/2" </v>
          </cell>
          <cell r="D15" t="str">
            <v xml:space="preserve"> White Oak </v>
          </cell>
          <cell r="E15" t="str">
            <v xml:space="preserve"> Select </v>
          </cell>
          <cell r="F15" t="str">
            <v xml:space="preserve">              -  </v>
          </cell>
          <cell r="G15"/>
          <cell r="H15"/>
          <cell r="I15"/>
          <cell r="J15"/>
        </row>
        <row r="16">
          <cell r="A16" t="str">
            <v>RH112SOSNB-24</v>
          </cell>
          <cell r="B16" t="str">
            <v xml:space="preserve"> 1/2" </v>
          </cell>
          <cell r="C16" t="str">
            <v xml:space="preserve"> 1-1/2" </v>
          </cell>
          <cell r="D16" t="str">
            <v xml:space="preserve"> White Oak </v>
          </cell>
          <cell r="E16" t="str">
            <v xml:space="preserve"> Select </v>
          </cell>
          <cell r="F16" t="str">
            <v xml:space="preserve">              -  </v>
          </cell>
          <cell r="G16"/>
          <cell r="H16"/>
          <cell r="I16"/>
          <cell r="J16">
            <v>4.6900000000000004</v>
          </cell>
        </row>
        <row r="17">
          <cell r="A17" t="str">
            <v>RH112SOSNB/
RH112SOSNB-15/
RH112SOSNB-24</v>
          </cell>
          <cell r="B17" t="str">
            <v xml:space="preserve"> 1/2" </v>
          </cell>
          <cell r="C17" t="str">
            <v xml:space="preserve"> 1-1/2" </v>
          </cell>
          <cell r="D17" t="str">
            <v xml:space="preserve"> White Oak </v>
          </cell>
          <cell r="E17" t="str">
            <v xml:space="preserve"> Select </v>
          </cell>
          <cell r="F17" t="str">
            <v xml:space="preserve">              -  </v>
          </cell>
          <cell r="G17"/>
          <cell r="H17"/>
          <cell r="I17"/>
          <cell r="J17">
            <v>4.6900000000000004</v>
          </cell>
        </row>
        <row r="18">
          <cell r="A18" t="str">
            <v>RH2QRSNB</v>
          </cell>
          <cell r="B18" t="str">
            <v xml:space="preserve"> 1/2" </v>
          </cell>
          <cell r="C18" t="str">
            <v xml:space="preserve"> 2" </v>
          </cell>
          <cell r="D18" t="str">
            <v xml:space="preserve"> Red Oak </v>
          </cell>
          <cell r="E18" t="str">
            <v xml:space="preserve"> Rift &amp; Quarter </v>
          </cell>
          <cell r="F18" t="str">
            <v xml:space="preserve">              -  </v>
          </cell>
          <cell r="G18"/>
          <cell r="H18"/>
          <cell r="I18"/>
          <cell r="J18"/>
        </row>
        <row r="19">
          <cell r="A19" t="str">
            <v>RH2QRSNB-20</v>
          </cell>
          <cell r="B19" t="str">
            <v xml:space="preserve"> 1/2" </v>
          </cell>
          <cell r="C19" t="str">
            <v xml:space="preserve"> 2" </v>
          </cell>
          <cell r="D19" t="str">
            <v xml:space="preserve"> Red Oak </v>
          </cell>
          <cell r="E19" t="str">
            <v xml:space="preserve"> Rift &amp; Quarter </v>
          </cell>
          <cell r="F19" t="str">
            <v xml:space="preserve">              -  </v>
          </cell>
          <cell r="G19"/>
          <cell r="H19"/>
          <cell r="I19"/>
          <cell r="J19"/>
        </row>
        <row r="20">
          <cell r="A20" t="str">
            <v>RH2QRSNB-24</v>
          </cell>
          <cell r="B20" t="str">
            <v xml:space="preserve"> 1/2" </v>
          </cell>
          <cell r="C20" t="str">
            <v xml:space="preserve"> 2" </v>
          </cell>
          <cell r="D20" t="str">
            <v xml:space="preserve"> Red Oak </v>
          </cell>
          <cell r="E20" t="str">
            <v xml:space="preserve"> Rift &amp; Quarter </v>
          </cell>
          <cell r="F20" t="str">
            <v xml:space="preserve">              -  </v>
          </cell>
          <cell r="G20"/>
          <cell r="H20"/>
          <cell r="I20"/>
          <cell r="J20"/>
        </row>
        <row r="21">
          <cell r="A21" t="str">
            <v>RH2QRSNB/
RH2QRSNB-20/
RH2QRSNB-24</v>
          </cell>
          <cell r="B21" t="str">
            <v xml:space="preserve"> 1/2" </v>
          </cell>
          <cell r="C21" t="str">
            <v xml:space="preserve"> 2" </v>
          </cell>
          <cell r="D21" t="str">
            <v xml:space="preserve"> Red Oak </v>
          </cell>
          <cell r="E21" t="str">
            <v xml:space="preserve"> Rift &amp; Quarter </v>
          </cell>
          <cell r="F21" t="str">
            <v xml:space="preserve">              -  </v>
          </cell>
          <cell r="G21"/>
          <cell r="H21"/>
          <cell r="I21"/>
          <cell r="J21"/>
        </row>
        <row r="22">
          <cell r="A22" t="str">
            <v>RH2SRS</v>
          </cell>
          <cell r="B22" t="str">
            <v xml:space="preserve"> 1/2" </v>
          </cell>
          <cell r="C22" t="str">
            <v xml:space="preserve"> 2" </v>
          </cell>
          <cell r="D22" t="str">
            <v xml:space="preserve"> Red Oak </v>
          </cell>
          <cell r="E22" t="str">
            <v xml:space="preserve"> Select </v>
          </cell>
          <cell r="F22" t="str">
            <v xml:space="preserve">              -  </v>
          </cell>
          <cell r="G22"/>
          <cell r="H22"/>
          <cell r="I22"/>
          <cell r="J22"/>
        </row>
        <row r="23">
          <cell r="A23" t="str">
            <v>RH2SRSNB</v>
          </cell>
          <cell r="B23" t="str">
            <v xml:space="preserve"> 1/2" </v>
          </cell>
          <cell r="C23" t="str">
            <v xml:space="preserve"> 2" </v>
          </cell>
          <cell r="D23" t="str">
            <v xml:space="preserve"> Red Oak </v>
          </cell>
          <cell r="E23" t="str">
            <v xml:space="preserve"> Select </v>
          </cell>
          <cell r="F23" t="str">
            <v xml:space="preserve">              -  </v>
          </cell>
          <cell r="G23"/>
          <cell r="H23"/>
          <cell r="I23"/>
          <cell r="J23">
            <v>2.4</v>
          </cell>
        </row>
        <row r="24">
          <cell r="A24" t="str">
            <v>RH2SRSNB-20</v>
          </cell>
          <cell r="B24" t="str">
            <v xml:space="preserve"> 1/2" </v>
          </cell>
          <cell r="C24" t="str">
            <v xml:space="preserve"> 2" </v>
          </cell>
          <cell r="D24" t="str">
            <v xml:space="preserve"> Red Oak </v>
          </cell>
          <cell r="E24" t="str">
            <v xml:space="preserve"> Select </v>
          </cell>
          <cell r="F24" t="str">
            <v xml:space="preserve">              -  </v>
          </cell>
          <cell r="G24"/>
          <cell r="H24"/>
          <cell r="I24"/>
          <cell r="J24"/>
        </row>
        <row r="25">
          <cell r="A25" t="str">
            <v>RH2SRS/
RH2SRSNB/
RH2SRSNB-20</v>
          </cell>
          <cell r="B25" t="str">
            <v xml:space="preserve"> 1/2" </v>
          </cell>
          <cell r="C25" t="str">
            <v xml:space="preserve"> 2" </v>
          </cell>
          <cell r="D25" t="str">
            <v xml:space="preserve"> Red Oak </v>
          </cell>
          <cell r="E25" t="str">
            <v xml:space="preserve"> Select </v>
          </cell>
          <cell r="F25" t="str">
            <v xml:space="preserve">              -  </v>
          </cell>
          <cell r="G25"/>
          <cell r="H25"/>
          <cell r="I25"/>
          <cell r="J25">
            <v>2.4</v>
          </cell>
        </row>
        <row r="26">
          <cell r="A26" t="str">
            <v>RH2QOSNB</v>
          </cell>
          <cell r="B26" t="str">
            <v xml:space="preserve"> 1/2" </v>
          </cell>
          <cell r="C26" t="str">
            <v xml:space="preserve"> 2" </v>
          </cell>
          <cell r="D26" t="str">
            <v xml:space="preserve"> White Oak </v>
          </cell>
          <cell r="E26" t="str">
            <v xml:space="preserve"> Rift &amp; Quarter </v>
          </cell>
          <cell r="F26" t="str">
            <v xml:space="preserve">              -  </v>
          </cell>
          <cell r="G26"/>
          <cell r="H26"/>
          <cell r="I26"/>
          <cell r="J26"/>
        </row>
        <row r="27">
          <cell r="A27" t="str">
            <v>RH2QOSNB-20</v>
          </cell>
          <cell r="B27" t="str">
            <v xml:space="preserve"> 1/2" </v>
          </cell>
          <cell r="C27" t="str">
            <v xml:space="preserve"> 2" </v>
          </cell>
          <cell r="D27" t="str">
            <v xml:space="preserve"> White Oak </v>
          </cell>
          <cell r="E27" t="str">
            <v xml:space="preserve"> Rift &amp; Quarter </v>
          </cell>
          <cell r="F27" t="str">
            <v xml:space="preserve">              -  </v>
          </cell>
          <cell r="G27"/>
          <cell r="H27"/>
          <cell r="I27"/>
          <cell r="J27"/>
        </row>
        <row r="28">
          <cell r="A28" t="str">
            <v>RH2QOSNB-24</v>
          </cell>
          <cell r="B28" t="str">
            <v xml:space="preserve"> 1/2" </v>
          </cell>
          <cell r="C28" t="str">
            <v xml:space="preserve"> 2" </v>
          </cell>
          <cell r="D28" t="str">
            <v xml:space="preserve"> White Oak </v>
          </cell>
          <cell r="E28" t="str">
            <v xml:space="preserve"> Rift &amp; Quarter </v>
          </cell>
          <cell r="F28" t="str">
            <v xml:space="preserve">              -  </v>
          </cell>
          <cell r="G28"/>
          <cell r="H28"/>
          <cell r="I28"/>
          <cell r="J28"/>
        </row>
        <row r="29">
          <cell r="A29" t="str">
            <v>RH2QOSNB/
RH2QOSNB-20/
RH2QOSNB-24</v>
          </cell>
          <cell r="B29" t="str">
            <v xml:space="preserve"> 1/2" </v>
          </cell>
          <cell r="C29" t="str">
            <v xml:space="preserve"> 2" </v>
          </cell>
          <cell r="D29" t="str">
            <v xml:space="preserve"> White Oak </v>
          </cell>
          <cell r="E29" t="str">
            <v xml:space="preserve"> Rift &amp; Quarter </v>
          </cell>
          <cell r="F29" t="str">
            <v xml:space="preserve">              -  </v>
          </cell>
          <cell r="G29"/>
          <cell r="H29"/>
          <cell r="I29"/>
          <cell r="J29"/>
        </row>
        <row r="30">
          <cell r="A30" t="str">
            <v>RH2SOSNB</v>
          </cell>
          <cell r="B30" t="str">
            <v xml:space="preserve"> 1/2" </v>
          </cell>
          <cell r="C30" t="str">
            <v xml:space="preserve"> 2" </v>
          </cell>
          <cell r="D30" t="str">
            <v xml:space="preserve"> White Oak </v>
          </cell>
          <cell r="E30" t="str">
            <v xml:space="preserve"> Select </v>
          </cell>
          <cell r="F30" t="str">
            <v xml:space="preserve">              -  </v>
          </cell>
          <cell r="G30"/>
          <cell r="H30"/>
          <cell r="I30"/>
          <cell r="J30">
            <v>3.65</v>
          </cell>
        </row>
        <row r="31">
          <cell r="A31" t="str">
            <v>RH2SOSNB-20</v>
          </cell>
          <cell r="B31" t="str">
            <v xml:space="preserve"> 1/2" </v>
          </cell>
          <cell r="C31" t="str">
            <v xml:space="preserve"> 2" </v>
          </cell>
          <cell r="D31" t="str">
            <v xml:space="preserve"> White Oak </v>
          </cell>
          <cell r="E31" t="str">
            <v xml:space="preserve"> Select </v>
          </cell>
          <cell r="F31" t="str">
            <v xml:space="preserve">              -  </v>
          </cell>
          <cell r="G31"/>
          <cell r="H31"/>
          <cell r="I31"/>
          <cell r="J31"/>
        </row>
        <row r="32">
          <cell r="A32" t="str">
            <v>RH2SOSNB-24</v>
          </cell>
          <cell r="B32" t="str">
            <v xml:space="preserve"> 1/2" </v>
          </cell>
          <cell r="C32" t="str">
            <v xml:space="preserve"> 2" </v>
          </cell>
          <cell r="D32" t="str">
            <v xml:space="preserve"> White Oak </v>
          </cell>
          <cell r="E32" t="str">
            <v xml:space="preserve"> Select </v>
          </cell>
          <cell r="F32" t="str">
            <v xml:space="preserve">              -  </v>
          </cell>
          <cell r="G32"/>
          <cell r="H32"/>
          <cell r="I32"/>
          <cell r="J32"/>
        </row>
        <row r="33">
          <cell r="A33" t="str">
            <v>RH2SOSNB/
RH2SOSNB-20/
RH2SOSNB-24</v>
          </cell>
          <cell r="B33" t="str">
            <v xml:space="preserve"> 1/2" </v>
          </cell>
          <cell r="C33" t="str">
            <v xml:space="preserve"> 2" </v>
          </cell>
          <cell r="D33" t="str">
            <v xml:space="preserve"> White Oak </v>
          </cell>
          <cell r="E33" t="str">
            <v xml:space="preserve"> Select </v>
          </cell>
          <cell r="F33" t="str">
            <v xml:space="preserve">              -  </v>
          </cell>
          <cell r="G33"/>
          <cell r="H33"/>
          <cell r="I33"/>
          <cell r="J33">
            <v>3.65</v>
          </cell>
        </row>
        <row r="34">
          <cell r="A34" t="str">
            <v>RQ112SRSNB</v>
          </cell>
          <cell r="B34" t="str">
            <v xml:space="preserve"> 3/4" </v>
          </cell>
          <cell r="C34" t="str">
            <v xml:space="preserve"> 1-1/2" </v>
          </cell>
          <cell r="D34" t="str">
            <v xml:space="preserve"> Red Oak </v>
          </cell>
          <cell r="E34" t="str">
            <v xml:space="preserve"> Select </v>
          </cell>
          <cell r="F34" t="str">
            <v xml:space="preserve">              -  </v>
          </cell>
          <cell r="G34"/>
          <cell r="H34">
            <v>3.4</v>
          </cell>
          <cell r="I34">
            <v>3.5</v>
          </cell>
          <cell r="J34">
            <v>3.3</v>
          </cell>
        </row>
        <row r="35">
          <cell r="A35" t="str">
            <v>RQ112SOSNB</v>
          </cell>
          <cell r="B35" t="str">
            <v xml:space="preserve"> 3/4" </v>
          </cell>
          <cell r="C35" t="str">
            <v xml:space="preserve"> 1-1/2" </v>
          </cell>
          <cell r="D35" t="str">
            <v xml:space="preserve"> White Oak </v>
          </cell>
          <cell r="E35" t="str">
            <v xml:space="preserve"> Select </v>
          </cell>
          <cell r="F35" t="str">
            <v xml:space="preserve">              -  </v>
          </cell>
          <cell r="G35"/>
          <cell r="H35">
            <v>3.85</v>
          </cell>
          <cell r="I35">
            <v>4.5</v>
          </cell>
          <cell r="J35">
            <v>4.3</v>
          </cell>
        </row>
        <row r="36">
          <cell r="A36" t="str">
            <v>RQ214FMS</v>
          </cell>
          <cell r="B36" t="str">
            <v xml:space="preserve"> 3/4" </v>
          </cell>
          <cell r="C36" t="str">
            <v xml:space="preserve"> 2-1/4" </v>
          </cell>
          <cell r="D36" t="str">
            <v xml:space="preserve"> Maple </v>
          </cell>
          <cell r="E36" t="str">
            <v xml:space="preserve"> 1st/Select </v>
          </cell>
          <cell r="F36" t="str">
            <v xml:space="preserve">              -  </v>
          </cell>
          <cell r="G36"/>
          <cell r="H36">
            <v>3.85</v>
          </cell>
          <cell r="I36"/>
          <cell r="J36"/>
        </row>
        <row r="37">
          <cell r="A37" t="str">
            <v>RQ214SRSSP</v>
          </cell>
          <cell r="B37" t="str">
            <v xml:space="preserve"> 3/4" </v>
          </cell>
          <cell r="C37" t="str">
            <v xml:space="preserve"> 2-1/4" </v>
          </cell>
          <cell r="D37" t="str">
            <v xml:space="preserve"> Red Oak </v>
          </cell>
          <cell r="E37" t="str">
            <v xml:space="preserve"> Select </v>
          </cell>
          <cell r="F37" t="str">
            <v xml:space="preserve">              -  </v>
          </cell>
          <cell r="G37"/>
          <cell r="H37">
            <v>2.7</v>
          </cell>
          <cell r="I37">
            <v>3.5</v>
          </cell>
          <cell r="J37">
            <v>2.75</v>
          </cell>
        </row>
        <row r="38">
          <cell r="A38" t="str">
            <v>RQ214QOSSP</v>
          </cell>
          <cell r="B38" t="str">
            <v xml:space="preserve"> 3/4" </v>
          </cell>
          <cell r="C38" t="str">
            <v xml:space="preserve"> 2-1/4" </v>
          </cell>
          <cell r="D38" t="str">
            <v xml:space="preserve"> White Oak </v>
          </cell>
          <cell r="E38" t="str">
            <v xml:space="preserve"> Rift &amp; Quarter </v>
          </cell>
          <cell r="F38" t="str">
            <v xml:space="preserve">              -  </v>
          </cell>
          <cell r="G38"/>
          <cell r="H38"/>
          <cell r="I38">
            <v>5.0999999999999996</v>
          </cell>
          <cell r="J38">
            <v>3.62</v>
          </cell>
        </row>
        <row r="39">
          <cell r="A39" t="str">
            <v>RQ214SOSSP</v>
          </cell>
          <cell r="B39" t="str">
            <v xml:space="preserve"> 3/4" </v>
          </cell>
          <cell r="C39" t="str">
            <v xml:space="preserve"> 2-1/4" </v>
          </cell>
          <cell r="D39" t="str">
            <v xml:space="preserve"> White Oak </v>
          </cell>
          <cell r="E39" t="str">
            <v xml:space="preserve"> Select &amp; Better </v>
          </cell>
          <cell r="F39" t="str">
            <v xml:space="preserve">              -  </v>
          </cell>
          <cell r="G39"/>
          <cell r="H39"/>
          <cell r="I39">
            <v>4.4000000000000004</v>
          </cell>
          <cell r="J39"/>
        </row>
        <row r="40">
          <cell r="A40" t="str">
            <v>RQ3SRB</v>
          </cell>
          <cell r="B40" t="str">
            <v xml:space="preserve"> 3/4" </v>
          </cell>
          <cell r="C40" t="str">
            <v xml:space="preserve"> 3" </v>
          </cell>
          <cell r="D40" t="str">
            <v xml:space="preserve"> Red Oak </v>
          </cell>
          <cell r="E40" t="str">
            <v xml:space="preserve">                              -  </v>
          </cell>
          <cell r="F40" t="str">
            <v xml:space="preserve"> Bevel </v>
          </cell>
          <cell r="G40"/>
          <cell r="H40"/>
          <cell r="I40">
            <v>3.4</v>
          </cell>
          <cell r="J40"/>
        </row>
        <row r="41">
          <cell r="A41" t="str">
            <v>RQ3SRS</v>
          </cell>
          <cell r="B41" t="str">
            <v xml:space="preserve"> 3/4" </v>
          </cell>
          <cell r="C41" t="str">
            <v xml:space="preserve"> 3" </v>
          </cell>
          <cell r="D41" t="str">
            <v xml:space="preserve"> Red Oak </v>
          </cell>
          <cell r="E41" t="str">
            <v xml:space="preserve">                              -  </v>
          </cell>
          <cell r="F41" t="str">
            <v xml:space="preserve"> Square </v>
          </cell>
          <cell r="G41"/>
          <cell r="H41"/>
          <cell r="I41">
            <v>3.4</v>
          </cell>
          <cell r="J41"/>
        </row>
        <row r="42">
          <cell r="A42" t="str">
            <v>RQ3SOB</v>
          </cell>
          <cell r="B42" t="str">
            <v xml:space="preserve"> 3/4" </v>
          </cell>
          <cell r="C42" t="str">
            <v xml:space="preserve"> 3" </v>
          </cell>
          <cell r="D42" t="str">
            <v xml:space="preserve"> White Oak </v>
          </cell>
          <cell r="E42" t="str">
            <v xml:space="preserve">                              -  </v>
          </cell>
          <cell r="F42" t="str">
            <v xml:space="preserve"> Bevel </v>
          </cell>
          <cell r="G42"/>
          <cell r="H42"/>
          <cell r="I42">
            <v>4.45</v>
          </cell>
          <cell r="J42"/>
        </row>
        <row r="43">
          <cell r="A43" t="str">
            <v>RQ3SOS</v>
          </cell>
          <cell r="B43" t="str">
            <v xml:space="preserve"> 3/4" </v>
          </cell>
          <cell r="C43" t="str">
            <v xml:space="preserve"> 3" </v>
          </cell>
          <cell r="D43" t="str">
            <v xml:space="preserve"> White Oak </v>
          </cell>
          <cell r="E43" t="str">
            <v xml:space="preserve"> Select </v>
          </cell>
          <cell r="F43" t="str">
            <v xml:space="preserve"> Square </v>
          </cell>
          <cell r="G43"/>
          <cell r="H43"/>
          <cell r="I43">
            <v>4.45</v>
          </cell>
          <cell r="J43"/>
        </row>
        <row r="44">
          <cell r="A44" t="str">
            <v>RQ314SDS</v>
          </cell>
          <cell r="B44" t="str">
            <v xml:space="preserve"> 3/4" </v>
          </cell>
          <cell r="C44" t="str">
            <v xml:space="preserve"> 3-1/4" </v>
          </cell>
          <cell r="D44" t="str">
            <v xml:space="preserve"> Douglas Fir </v>
          </cell>
          <cell r="E44" t="str">
            <v xml:space="preserve">                              -  </v>
          </cell>
          <cell r="F44" t="str">
            <v xml:space="preserve">              -  </v>
          </cell>
          <cell r="G44"/>
          <cell r="H44"/>
          <cell r="I44"/>
          <cell r="J44"/>
        </row>
        <row r="45">
          <cell r="A45" t="str">
            <v>RQ314FMS</v>
          </cell>
          <cell r="B45" t="str">
            <v xml:space="preserve"> 3/4" </v>
          </cell>
          <cell r="C45" t="str">
            <v xml:space="preserve"> 3-1/4" </v>
          </cell>
          <cell r="D45" t="str">
            <v xml:space="preserve"> Maple </v>
          </cell>
          <cell r="E45" t="str">
            <v xml:space="preserve"> 1st/Select </v>
          </cell>
          <cell r="F45" t="str">
            <v xml:space="preserve">              -  </v>
          </cell>
          <cell r="G45"/>
          <cell r="H45">
            <v>3.55</v>
          </cell>
          <cell r="I45"/>
          <cell r="J45"/>
        </row>
        <row r="46">
          <cell r="A46" t="str">
            <v>RQ314SRSSP</v>
          </cell>
          <cell r="B46" t="str">
            <v xml:space="preserve"> 3/4" </v>
          </cell>
          <cell r="C46" t="str">
            <v xml:space="preserve"> 3-1/4" </v>
          </cell>
          <cell r="D46" t="str">
            <v xml:space="preserve"> Red Oak </v>
          </cell>
          <cell r="E46" t="str">
            <v xml:space="preserve"> Select &amp; Better </v>
          </cell>
          <cell r="F46" t="str">
            <v xml:space="preserve">              -  </v>
          </cell>
          <cell r="G46"/>
          <cell r="H46">
            <v>2.5499999999999998</v>
          </cell>
          <cell r="I46">
            <v>3.4</v>
          </cell>
          <cell r="J46">
            <v>2.54</v>
          </cell>
        </row>
        <row r="47">
          <cell r="A47" t="str">
            <v>RQ314QOSSP</v>
          </cell>
          <cell r="B47" t="str">
            <v xml:space="preserve"> 3/4" </v>
          </cell>
          <cell r="C47" t="str">
            <v xml:space="preserve"> 3-1/4" </v>
          </cell>
          <cell r="D47" t="str">
            <v xml:space="preserve"> White Oak </v>
          </cell>
          <cell r="E47" t="str">
            <v xml:space="preserve"> Rift &amp; Quarter </v>
          </cell>
          <cell r="F47" t="str">
            <v xml:space="preserve">              -  </v>
          </cell>
          <cell r="G47"/>
          <cell r="H47"/>
          <cell r="I47">
            <v>5.45</v>
          </cell>
          <cell r="J47"/>
        </row>
        <row r="48">
          <cell r="A48" t="str">
            <v>RQ314SOSSP</v>
          </cell>
          <cell r="B48" t="str">
            <v xml:space="preserve"> 3/4" </v>
          </cell>
          <cell r="C48" t="str">
            <v xml:space="preserve"> 3-1/4" </v>
          </cell>
          <cell r="D48" t="str">
            <v xml:space="preserve"> White Oak </v>
          </cell>
          <cell r="E48" t="str">
            <v xml:space="preserve"> Select &amp; Better </v>
          </cell>
          <cell r="F48" t="str">
            <v xml:space="preserve">              -  </v>
          </cell>
          <cell r="G48"/>
          <cell r="H48">
            <v>2.89</v>
          </cell>
          <cell r="I48">
            <v>4.6500000000000004</v>
          </cell>
          <cell r="J48">
            <v>3.81</v>
          </cell>
        </row>
        <row r="49">
          <cell r="A49" t="str">
            <v>RQ4SRB</v>
          </cell>
          <cell r="B49" t="str">
            <v xml:space="preserve"> 3/4" </v>
          </cell>
          <cell r="C49" t="str">
            <v xml:space="preserve"> 4" </v>
          </cell>
          <cell r="D49" t="str">
            <v xml:space="preserve"> Red Oak </v>
          </cell>
          <cell r="E49" t="str">
            <v xml:space="preserve">                              -  </v>
          </cell>
          <cell r="F49" t="str">
            <v xml:space="preserve"> Bevel </v>
          </cell>
          <cell r="G49"/>
          <cell r="H49"/>
          <cell r="I49">
            <v>3.45</v>
          </cell>
          <cell r="J49"/>
        </row>
        <row r="50">
          <cell r="A50" t="str">
            <v>RQ4SRS</v>
          </cell>
          <cell r="B50" t="str">
            <v xml:space="preserve"> 3/4" </v>
          </cell>
          <cell r="C50" t="str">
            <v xml:space="preserve"> 4" </v>
          </cell>
          <cell r="D50" t="str">
            <v xml:space="preserve"> Red Oak </v>
          </cell>
          <cell r="E50" t="str">
            <v xml:space="preserve">                              -  </v>
          </cell>
          <cell r="F50" t="str">
            <v xml:space="preserve"> Square </v>
          </cell>
          <cell r="G50"/>
          <cell r="H50"/>
          <cell r="I50">
            <v>3.45</v>
          </cell>
          <cell r="J50"/>
        </row>
        <row r="51">
          <cell r="A51" t="str">
            <v>RQ4SOB</v>
          </cell>
          <cell r="B51" t="str">
            <v xml:space="preserve"> 3/4" </v>
          </cell>
          <cell r="C51" t="str">
            <v xml:space="preserve"> 4" </v>
          </cell>
          <cell r="D51" t="str">
            <v xml:space="preserve"> White Oak </v>
          </cell>
          <cell r="E51" t="str">
            <v xml:space="preserve">                              -  </v>
          </cell>
          <cell r="F51" t="str">
            <v xml:space="preserve"> Bevel </v>
          </cell>
          <cell r="G51"/>
          <cell r="H51"/>
          <cell r="I51">
            <v>4.7</v>
          </cell>
          <cell r="J51"/>
        </row>
        <row r="52">
          <cell r="A52" t="str">
            <v>RQ4SOS</v>
          </cell>
          <cell r="B52" t="str">
            <v xml:space="preserve"> 3/4" </v>
          </cell>
          <cell r="C52" t="str">
            <v xml:space="preserve"> 4" </v>
          </cell>
          <cell r="D52" t="str">
            <v xml:space="preserve"> White Oak </v>
          </cell>
          <cell r="E52" t="str">
            <v xml:space="preserve">                              -  </v>
          </cell>
          <cell r="F52" t="str">
            <v xml:space="preserve"> Square </v>
          </cell>
          <cell r="G52"/>
          <cell r="H52"/>
          <cell r="I52">
            <v>4.7</v>
          </cell>
          <cell r="J52"/>
        </row>
        <row r="53">
          <cell r="A53" t="str">
            <v>RQ5FMS</v>
          </cell>
          <cell r="B53" t="str">
            <v xml:space="preserve"> 3/4" </v>
          </cell>
          <cell r="C53" t="str">
            <v xml:space="preserve"> 5" </v>
          </cell>
          <cell r="D53" t="str">
            <v xml:space="preserve"> Maple </v>
          </cell>
          <cell r="E53" t="str">
            <v xml:space="preserve"> 1st </v>
          </cell>
          <cell r="F53" t="str">
            <v xml:space="preserve"> Square </v>
          </cell>
          <cell r="G53"/>
          <cell r="H53"/>
          <cell r="I53"/>
          <cell r="J53"/>
        </row>
        <row r="54">
          <cell r="A54" t="str">
            <v>RQ5SRB</v>
          </cell>
          <cell r="B54" t="str">
            <v xml:space="preserve"> 3/4" </v>
          </cell>
          <cell r="C54" t="str">
            <v xml:space="preserve"> 5" </v>
          </cell>
          <cell r="D54" t="str">
            <v xml:space="preserve"> Red Oak </v>
          </cell>
          <cell r="E54" t="str">
            <v xml:space="preserve">                              -  </v>
          </cell>
          <cell r="F54" t="str">
            <v xml:space="preserve"> Bevel </v>
          </cell>
          <cell r="G54"/>
          <cell r="H54"/>
          <cell r="I54">
            <v>3.45</v>
          </cell>
          <cell r="J54"/>
        </row>
        <row r="55">
          <cell r="A55" t="str">
            <v>RQ5SRS</v>
          </cell>
          <cell r="B55" t="str">
            <v xml:space="preserve"> 3/4" </v>
          </cell>
          <cell r="C55" t="str">
            <v xml:space="preserve"> 5" </v>
          </cell>
          <cell r="D55" t="str">
            <v xml:space="preserve"> Red Oak </v>
          </cell>
          <cell r="E55" t="str">
            <v xml:space="preserve">                              -  </v>
          </cell>
          <cell r="F55" t="str">
            <v xml:space="preserve"> Square </v>
          </cell>
          <cell r="G55"/>
          <cell r="H55"/>
          <cell r="I55"/>
          <cell r="J55"/>
        </row>
        <row r="56">
          <cell r="A56" t="str">
            <v>RQ5SRSI</v>
          </cell>
          <cell r="B56" t="str">
            <v xml:space="preserve"> 3/4" </v>
          </cell>
          <cell r="C56" t="str">
            <v xml:space="preserve"> 5" </v>
          </cell>
          <cell r="D56" t="str">
            <v xml:space="preserve"> Red Oak </v>
          </cell>
          <cell r="E56" t="str">
            <v xml:space="preserve">                              -  </v>
          </cell>
          <cell r="F56" t="str">
            <v xml:space="preserve"> Square </v>
          </cell>
          <cell r="G56"/>
          <cell r="H56"/>
          <cell r="I56"/>
          <cell r="J56"/>
        </row>
        <row r="57">
          <cell r="A57" t="str">
            <v>RQ5SRS/
RQ5SRSI</v>
          </cell>
          <cell r="B57" t="str">
            <v xml:space="preserve"> 3/4" </v>
          </cell>
          <cell r="C57" t="str">
            <v xml:space="preserve"> 5" </v>
          </cell>
          <cell r="D57" t="str">
            <v xml:space="preserve"> Red Oak </v>
          </cell>
          <cell r="E57" t="str">
            <v xml:space="preserve">                              -  </v>
          </cell>
          <cell r="F57" t="str">
            <v xml:space="preserve"> Square </v>
          </cell>
          <cell r="G57"/>
          <cell r="H57"/>
          <cell r="I57">
            <v>3.45</v>
          </cell>
          <cell r="J57"/>
        </row>
        <row r="58">
          <cell r="A58" t="str">
            <v>RQ5SWS</v>
          </cell>
          <cell r="B58" t="str">
            <v xml:space="preserve"> 3/4" </v>
          </cell>
          <cell r="C58" t="str">
            <v xml:space="preserve"> 5" </v>
          </cell>
          <cell r="D58" t="str">
            <v xml:space="preserve"> Walnut </v>
          </cell>
          <cell r="E58" t="str">
            <v xml:space="preserve"> Select &amp; Better </v>
          </cell>
          <cell r="F58" t="str">
            <v xml:space="preserve"> Square </v>
          </cell>
          <cell r="G58"/>
          <cell r="H58"/>
          <cell r="I58">
            <v>7.65</v>
          </cell>
          <cell r="J58"/>
        </row>
        <row r="59">
          <cell r="A59" t="str">
            <v xml:space="preserve">
RQ5SWB</v>
          </cell>
          <cell r="B59" t="str">
            <v xml:space="preserve"> 3/4" </v>
          </cell>
          <cell r="C59" t="str">
            <v xml:space="preserve"> 5" </v>
          </cell>
          <cell r="D59" t="str">
            <v xml:space="preserve"> Walnut </v>
          </cell>
          <cell r="E59" t="str">
            <v xml:space="preserve"> Select &amp; Better </v>
          </cell>
          <cell r="F59" t="str">
            <v>Bevel</v>
          </cell>
          <cell r="G59"/>
          <cell r="H59"/>
          <cell r="I59">
            <v>7.65</v>
          </cell>
          <cell r="J59"/>
        </row>
        <row r="60">
          <cell r="A60" t="str">
            <v>RQ5SOB</v>
          </cell>
          <cell r="B60" t="str">
            <v xml:space="preserve"> 3/4" </v>
          </cell>
          <cell r="C60" t="str">
            <v xml:space="preserve"> 5" </v>
          </cell>
          <cell r="D60" t="str">
            <v xml:space="preserve"> White Oak </v>
          </cell>
          <cell r="E60" t="str">
            <v xml:space="preserve">                              -  </v>
          </cell>
          <cell r="F60" t="str">
            <v xml:space="preserve"> Bevel </v>
          </cell>
          <cell r="G60"/>
          <cell r="H60"/>
          <cell r="I60">
            <v>4.75</v>
          </cell>
          <cell r="J60"/>
        </row>
        <row r="61">
          <cell r="A61" t="str">
            <v>RQ5SOS</v>
          </cell>
          <cell r="B61" t="str">
            <v xml:space="preserve"> 3/4" </v>
          </cell>
          <cell r="C61" t="str">
            <v xml:space="preserve"> 5" </v>
          </cell>
          <cell r="D61" t="str">
            <v xml:space="preserve"> White Oak </v>
          </cell>
          <cell r="E61" t="str">
            <v xml:space="preserve"> Select </v>
          </cell>
          <cell r="F61" t="str">
            <v xml:space="preserve"> Square </v>
          </cell>
          <cell r="G61"/>
          <cell r="H61">
            <v>4.5999999999999996</v>
          </cell>
          <cell r="I61"/>
          <cell r="J61"/>
        </row>
        <row r="62">
          <cell r="A62" t="str">
            <v>RQ5SOSD</v>
          </cell>
          <cell r="B62" t="str">
            <v xml:space="preserve"> 3/4" </v>
          </cell>
          <cell r="C62" t="str">
            <v xml:space="preserve"> 5" </v>
          </cell>
          <cell r="D62" t="str">
            <v xml:space="preserve"> White Oak </v>
          </cell>
          <cell r="E62" t="str">
            <v xml:space="preserve"> Select </v>
          </cell>
          <cell r="F62" t="str">
            <v xml:space="preserve"> Square </v>
          </cell>
          <cell r="G62"/>
          <cell r="H62"/>
          <cell r="I62"/>
          <cell r="J62"/>
        </row>
        <row r="63">
          <cell r="A63" t="str">
            <v>RQ5SOS/
RQ5SOSD</v>
          </cell>
          <cell r="B63" t="str">
            <v xml:space="preserve"> 3/4" </v>
          </cell>
          <cell r="C63" t="str">
            <v xml:space="preserve"> 5" </v>
          </cell>
          <cell r="D63" t="str">
            <v xml:space="preserve"> White Oak </v>
          </cell>
          <cell r="E63" t="str">
            <v xml:space="preserve"> Select </v>
          </cell>
          <cell r="F63" t="str">
            <v xml:space="preserve"> Square </v>
          </cell>
          <cell r="G63"/>
          <cell r="H63"/>
          <cell r="I63">
            <v>4.75</v>
          </cell>
          <cell r="J63"/>
        </row>
        <row r="64">
          <cell r="A64" t="str">
            <v>RQ6SRB</v>
          </cell>
          <cell r="B64" t="str">
            <v xml:space="preserve"> 3/4" </v>
          </cell>
          <cell r="C64" t="str">
            <v xml:space="preserve"> 6" </v>
          </cell>
          <cell r="D64" t="str">
            <v xml:space="preserve"> Red Oak </v>
          </cell>
          <cell r="E64" t="str">
            <v xml:space="preserve">                              -  </v>
          </cell>
          <cell r="F64" t="str">
            <v xml:space="preserve"> Bevel </v>
          </cell>
          <cell r="G64"/>
          <cell r="H64"/>
          <cell r="I64">
            <v>3.5</v>
          </cell>
          <cell r="J64"/>
        </row>
        <row r="65">
          <cell r="A65" t="str">
            <v>RQ6SRS</v>
          </cell>
          <cell r="B65" t="str">
            <v xml:space="preserve"> 3/4" </v>
          </cell>
          <cell r="C65" t="str">
            <v xml:space="preserve"> 6" </v>
          </cell>
          <cell r="D65" t="str">
            <v xml:space="preserve"> Red Oak </v>
          </cell>
          <cell r="E65" t="str">
            <v xml:space="preserve">                              -  </v>
          </cell>
          <cell r="F65" t="str">
            <v xml:space="preserve"> Square </v>
          </cell>
          <cell r="G65"/>
          <cell r="H65"/>
          <cell r="I65">
            <v>3.5</v>
          </cell>
          <cell r="J65"/>
        </row>
        <row r="66">
          <cell r="A66" t="str">
            <v>RQ6SOB</v>
          </cell>
          <cell r="B66" t="str">
            <v xml:space="preserve"> 3/4" </v>
          </cell>
          <cell r="C66" t="str">
            <v xml:space="preserve"> 6" </v>
          </cell>
          <cell r="D66" t="str">
            <v xml:space="preserve"> White Oak </v>
          </cell>
          <cell r="E66" t="str">
            <v xml:space="preserve">                              -  </v>
          </cell>
          <cell r="F66" t="str">
            <v xml:space="preserve"> Bevel </v>
          </cell>
          <cell r="G66"/>
          <cell r="H66"/>
          <cell r="I66">
            <v>4.75</v>
          </cell>
          <cell r="J66"/>
        </row>
        <row r="67">
          <cell r="A67" t="str">
            <v>RQ6SOS</v>
          </cell>
          <cell r="B67" t="str">
            <v xml:space="preserve"> 3/4" </v>
          </cell>
          <cell r="C67" t="str">
            <v xml:space="preserve"> 6" </v>
          </cell>
          <cell r="D67" t="str">
            <v xml:space="preserve"> White Oak </v>
          </cell>
          <cell r="E67" t="str">
            <v xml:space="preserve">                              -  </v>
          </cell>
          <cell r="F67" t="str">
            <v xml:space="preserve"> Square </v>
          </cell>
          <cell r="G67"/>
          <cell r="H67">
            <v>5.2</v>
          </cell>
          <cell r="I67">
            <v>4.75</v>
          </cell>
          <cell r="J67"/>
        </row>
        <row r="68">
          <cell r="A68" t="str">
            <v>RQ7SRB</v>
          </cell>
          <cell r="B68" t="str">
            <v xml:space="preserve"> 3/4" </v>
          </cell>
          <cell r="C68" t="str">
            <v xml:space="preserve"> 7" </v>
          </cell>
          <cell r="D68" t="str">
            <v xml:space="preserve"> Red Oak </v>
          </cell>
          <cell r="E68" t="str">
            <v xml:space="preserve">                              -  </v>
          </cell>
          <cell r="F68" t="str">
            <v xml:space="preserve"> Bevel </v>
          </cell>
          <cell r="G68"/>
          <cell r="H68"/>
          <cell r="I68">
            <v>3.6</v>
          </cell>
          <cell r="J68"/>
        </row>
        <row r="69">
          <cell r="A69" t="str">
            <v>RQ7SRS</v>
          </cell>
          <cell r="B69" t="str">
            <v xml:space="preserve"> 3/4" </v>
          </cell>
          <cell r="C69" t="str">
            <v xml:space="preserve"> 7" </v>
          </cell>
          <cell r="D69" t="str">
            <v xml:space="preserve"> Red Oak </v>
          </cell>
          <cell r="E69" t="str">
            <v xml:space="preserve">                              -  </v>
          </cell>
          <cell r="F69" t="str">
            <v xml:space="preserve"> Square </v>
          </cell>
          <cell r="G69"/>
          <cell r="H69"/>
          <cell r="I69">
            <v>3.6</v>
          </cell>
          <cell r="J69"/>
        </row>
        <row r="70">
          <cell r="A70" t="str">
            <v>RQ7SOB</v>
          </cell>
          <cell r="B70" t="str">
            <v xml:space="preserve"> 3/4" </v>
          </cell>
          <cell r="C70" t="str">
            <v xml:space="preserve"> 7" </v>
          </cell>
          <cell r="D70" t="str">
            <v xml:space="preserve"> White Oak </v>
          </cell>
          <cell r="E70" t="str">
            <v xml:space="preserve">                              -  </v>
          </cell>
          <cell r="F70" t="str">
            <v xml:space="preserve"> Bevel </v>
          </cell>
          <cell r="G70"/>
          <cell r="H70"/>
          <cell r="I70">
            <v>4.8499999999999996</v>
          </cell>
          <cell r="J70"/>
        </row>
        <row r="71">
          <cell r="A71" t="str">
            <v>RQ7SOS</v>
          </cell>
          <cell r="B71" t="str">
            <v xml:space="preserve"> 3/4" </v>
          </cell>
          <cell r="C71" t="str">
            <v xml:space="preserve"> 7" </v>
          </cell>
          <cell r="D71" t="str">
            <v xml:space="preserve"> White Oak </v>
          </cell>
          <cell r="E71" t="str">
            <v xml:space="preserve">                              -  </v>
          </cell>
          <cell r="F71" t="str">
            <v xml:space="preserve"> Square </v>
          </cell>
          <cell r="G71"/>
          <cell r="H71">
            <v>5.4</v>
          </cell>
          <cell r="I71">
            <v>4.8499999999999996</v>
          </cell>
          <cell r="J71"/>
        </row>
        <row r="72">
          <cell r="A72" t="str">
            <v>RT112SRS</v>
          </cell>
          <cell r="B72" t="str">
            <v xml:space="preserve"> 3/8" </v>
          </cell>
          <cell r="C72" t="str">
            <v xml:space="preserve"> 1-1/2" </v>
          </cell>
          <cell r="D72" t="str">
            <v xml:space="preserve"> Red Oak </v>
          </cell>
          <cell r="E72" t="str">
            <v xml:space="preserve"> Select </v>
          </cell>
          <cell r="F72" t="str">
            <v xml:space="preserve">              -  </v>
          </cell>
          <cell r="G72"/>
          <cell r="H72"/>
          <cell r="I72"/>
          <cell r="J72"/>
        </row>
        <row r="73">
          <cell r="A73" t="str">
            <v>RT112SOS</v>
          </cell>
          <cell r="B73" t="str">
            <v xml:space="preserve"> 3/8" </v>
          </cell>
          <cell r="C73" t="str">
            <v xml:space="preserve"> 1-1/2" </v>
          </cell>
          <cell r="D73" t="str">
            <v xml:space="preserve"> White Oak </v>
          </cell>
          <cell r="E73" t="str">
            <v xml:space="preserve"> Select </v>
          </cell>
          <cell r="F73" t="str">
            <v xml:space="preserve">              -  </v>
          </cell>
          <cell r="G73"/>
          <cell r="H73"/>
          <cell r="I73"/>
          <cell r="J73"/>
        </row>
        <row r="74">
          <cell r="A74" t="str">
            <v>RT2SRSNB-24</v>
          </cell>
          <cell r="B74" t="str">
            <v xml:space="preserve"> 3/8" </v>
          </cell>
          <cell r="C74" t="str">
            <v xml:space="preserve"> 2" </v>
          </cell>
          <cell r="D74" t="str">
            <v xml:space="preserve"> Red Oak </v>
          </cell>
          <cell r="E74" t="str">
            <v xml:space="preserve"> Select </v>
          </cell>
          <cell r="F74" t="str">
            <v xml:space="preserve">              -  </v>
          </cell>
          <cell r="G74"/>
          <cell r="H74"/>
          <cell r="I74"/>
          <cell r="J74"/>
        </row>
        <row r="75">
          <cell r="A75" t="str">
            <v>RT2SOSNB-24</v>
          </cell>
          <cell r="B75" t="str">
            <v xml:space="preserve"> 3/8" </v>
          </cell>
          <cell r="C75" t="str">
            <v xml:space="preserve"> 2" </v>
          </cell>
          <cell r="D75" t="str">
            <v xml:space="preserve"> White Oak </v>
          </cell>
          <cell r="E75" t="str">
            <v xml:space="preserve"> Select </v>
          </cell>
          <cell r="F75" t="str">
            <v xml:space="preserve">              -  </v>
          </cell>
          <cell r="G75"/>
          <cell r="H75"/>
          <cell r="I75"/>
          <cell r="J75"/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75"/>
  <sheetViews>
    <sheetView tabSelected="1" workbookViewId="0">
      <pane xSplit="6" ySplit="1" topLeftCell="P2" activePane="bottomRight" state="frozen"/>
      <selection pane="topRight" activeCell="G1" sqref="G1"/>
      <selection pane="bottomLeft" activeCell="A2" sqref="A2"/>
      <selection pane="bottomRight" activeCell="R10" sqref="R10"/>
    </sheetView>
  </sheetViews>
  <sheetFormatPr defaultRowHeight="15" x14ac:dyDescent="0.25"/>
  <cols>
    <col min="1" max="1" width="16.5703125" bestFit="1" customWidth="1"/>
    <col min="2" max="2" width="12.7109375" bestFit="1" customWidth="1"/>
    <col min="3" max="3" width="9.7109375" bestFit="1" customWidth="1"/>
    <col min="4" max="4" width="11.5703125" bestFit="1" customWidth="1"/>
    <col min="5" max="5" width="15.5703125" bestFit="1" customWidth="1"/>
    <col min="6" max="6" width="8.5703125" bestFit="1" customWidth="1"/>
    <col min="7" max="7" width="15.7109375" style="7" bestFit="1" customWidth="1"/>
    <col min="8" max="8" width="10.7109375" style="7" bestFit="1" customWidth="1"/>
    <col min="9" max="9" width="11.28515625" style="7" bestFit="1" customWidth="1"/>
    <col min="10" max="10" width="12.28515625" style="7" bestFit="1" customWidth="1"/>
    <col min="11" max="11" width="13.42578125" style="7" bestFit="1" customWidth="1"/>
    <col min="12" max="12" width="11.5703125" style="7" bestFit="1" customWidth="1"/>
    <col min="13" max="13" width="22.42578125" style="7" bestFit="1" customWidth="1"/>
    <col min="14" max="14" width="10.140625" style="7" bestFit="1" customWidth="1"/>
    <col min="15" max="15" width="12.42578125" style="7" bestFit="1" customWidth="1"/>
    <col min="16" max="16" width="24.42578125" bestFit="1" customWidth="1"/>
    <col min="17" max="17" width="19.28515625" bestFit="1" customWidth="1"/>
    <col min="18" max="18" width="20" bestFit="1" customWidth="1"/>
    <col min="19" max="19" width="21" bestFit="1" customWidth="1"/>
    <col min="20" max="20" width="22.140625" bestFit="1" customWidth="1"/>
    <col min="21" max="21" width="20.28515625" bestFit="1" customWidth="1"/>
    <col min="22" max="22" width="31.140625" bestFit="1" customWidth="1"/>
    <col min="23" max="23" width="18.7109375" bestFit="1" customWidth="1"/>
    <col min="24" max="24" width="21.140625" bestFit="1" customWidth="1"/>
    <col min="25" max="25" width="32.28515625" bestFit="1" customWidth="1"/>
    <col min="26" max="26" width="27.140625" bestFit="1" customWidth="1"/>
    <col min="27" max="27" width="27.85546875" bestFit="1" customWidth="1"/>
    <col min="28" max="28" width="28.85546875" bestFit="1" customWidth="1"/>
    <col min="29" max="29" width="30" bestFit="1" customWidth="1"/>
    <col min="30" max="30" width="28.140625" bestFit="1" customWidth="1"/>
    <col min="31" max="31" width="39" bestFit="1" customWidth="1"/>
    <col min="32" max="32" width="26.5703125" bestFit="1" customWidth="1"/>
    <col min="33" max="33" width="29" bestFit="1" customWidth="1"/>
  </cols>
  <sheetData>
    <row r="1" spans="1:33" x14ac:dyDescent="0.25">
      <c r="A1" s="1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34" t="s">
        <v>13</v>
      </c>
      <c r="O1" s="36" t="s">
        <v>14</v>
      </c>
      <c r="P1" s="37" t="s">
        <v>215</v>
      </c>
      <c r="Q1" s="37" t="s">
        <v>216</v>
      </c>
      <c r="R1" s="37" t="s">
        <v>217</v>
      </c>
      <c r="S1" s="37" t="s">
        <v>218</v>
      </c>
      <c r="T1" s="37" t="s">
        <v>219</v>
      </c>
      <c r="U1" s="37" t="s">
        <v>220</v>
      </c>
      <c r="V1" s="37" t="s">
        <v>221</v>
      </c>
      <c r="W1" s="37" t="s">
        <v>222</v>
      </c>
      <c r="X1" s="37" t="s">
        <v>223</v>
      </c>
      <c r="Y1" s="38" t="s">
        <v>224</v>
      </c>
      <c r="Z1" s="38" t="s">
        <v>225</v>
      </c>
      <c r="AA1" s="38" t="s">
        <v>226</v>
      </c>
      <c r="AB1" s="38" t="s">
        <v>227</v>
      </c>
      <c r="AC1" s="38" t="s">
        <v>228</v>
      </c>
      <c r="AD1" s="38" t="s">
        <v>229</v>
      </c>
      <c r="AE1" s="38" t="s">
        <v>230</v>
      </c>
      <c r="AF1" s="38" t="s">
        <v>231</v>
      </c>
      <c r="AG1" s="38" t="s">
        <v>232</v>
      </c>
    </row>
    <row r="2" spans="1:33" x14ac:dyDescent="0.25">
      <c r="A2" s="11" t="s">
        <v>15</v>
      </c>
      <c r="B2" s="8" t="s">
        <v>16</v>
      </c>
      <c r="C2" s="8" t="s">
        <v>17</v>
      </c>
      <c r="D2" s="8" t="s">
        <v>18</v>
      </c>
      <c r="E2" s="9" t="s">
        <v>19</v>
      </c>
      <c r="F2" s="10" t="s">
        <v>20</v>
      </c>
      <c r="G2" s="6"/>
      <c r="H2" s="6"/>
      <c r="I2" s="6"/>
      <c r="J2" s="6"/>
      <c r="K2" s="6"/>
      <c r="L2" s="6"/>
      <c r="M2" s="6" t="e">
        <f>VLOOKUP(A2,Merrick!$A$2:$G$46,7,FALSE)</f>
        <v>#N/A</v>
      </c>
      <c r="N2" s="35"/>
      <c r="O2" s="39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</row>
    <row r="3" spans="1:33" x14ac:dyDescent="0.25">
      <c r="A3" s="11" t="s">
        <v>21</v>
      </c>
      <c r="B3" s="8" t="s">
        <v>16</v>
      </c>
      <c r="C3" s="8" t="s">
        <v>17</v>
      </c>
      <c r="D3" s="8" t="s">
        <v>18</v>
      </c>
      <c r="E3" s="9" t="s">
        <v>19</v>
      </c>
      <c r="F3" s="10" t="s">
        <v>20</v>
      </c>
      <c r="G3" s="6"/>
      <c r="H3" s="6"/>
      <c r="I3" s="6"/>
      <c r="J3" s="6"/>
      <c r="K3" s="6"/>
      <c r="L3" s="6"/>
      <c r="M3" s="6" t="e">
        <f>VLOOKUP(A3,Merrick!$A$2:$G$46,7,FALSE)</f>
        <v>#N/A</v>
      </c>
      <c r="N3" s="35"/>
      <c r="O3" s="39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</row>
    <row r="4" spans="1:33" x14ac:dyDescent="0.25">
      <c r="A4" s="19" t="s">
        <v>22</v>
      </c>
      <c r="B4" s="8" t="s">
        <v>23</v>
      </c>
      <c r="C4" s="8" t="s">
        <v>24</v>
      </c>
      <c r="D4" s="8" t="s">
        <v>25</v>
      </c>
      <c r="E4" s="9" t="s">
        <v>26</v>
      </c>
      <c r="F4" s="10" t="s">
        <v>20</v>
      </c>
      <c r="G4" s="6"/>
      <c r="H4" s="6"/>
      <c r="I4" s="6"/>
      <c r="J4" s="6"/>
      <c r="K4" s="6"/>
      <c r="L4" s="6"/>
      <c r="M4" s="6" t="e">
        <f>VLOOKUP(A4,Merrick!$A$2:$G$46,7,FALSE)</f>
        <v>#N/A</v>
      </c>
      <c r="N4" s="35"/>
      <c r="O4" s="39"/>
      <c r="P4" s="28"/>
      <c r="Q4" s="28"/>
      <c r="R4" s="28"/>
      <c r="S4" s="28">
        <v>1050</v>
      </c>
      <c r="T4" s="28"/>
      <c r="U4" s="28"/>
      <c r="V4" s="28"/>
      <c r="W4" s="28"/>
      <c r="X4" s="28"/>
      <c r="Y4" s="28"/>
      <c r="Z4" s="28"/>
      <c r="AA4" s="28"/>
      <c r="AB4" s="28">
        <v>22</v>
      </c>
      <c r="AC4" s="28"/>
      <c r="AD4" s="28">
        <v>18</v>
      </c>
      <c r="AE4" s="28">
        <v>18</v>
      </c>
      <c r="AF4" s="28"/>
      <c r="AG4" s="28"/>
    </row>
    <row r="5" spans="1:33" x14ac:dyDescent="0.25">
      <c r="A5" s="19" t="s">
        <v>27</v>
      </c>
      <c r="B5" s="8" t="s">
        <v>23</v>
      </c>
      <c r="C5" s="8" t="s">
        <v>24</v>
      </c>
      <c r="D5" s="8" t="s">
        <v>25</v>
      </c>
      <c r="E5" s="9" t="s">
        <v>26</v>
      </c>
      <c r="F5" s="10" t="s">
        <v>20</v>
      </c>
      <c r="G5" s="6"/>
      <c r="H5" s="6"/>
      <c r="I5" s="6"/>
      <c r="J5" s="6"/>
      <c r="K5" s="6"/>
      <c r="L5" s="6"/>
      <c r="M5" s="6" t="e">
        <f>VLOOKUP(A5,Merrick!$A$2:$G$46,7,FALSE)</f>
        <v>#N/A</v>
      </c>
      <c r="N5" s="35"/>
      <c r="O5" s="39"/>
      <c r="P5" s="28"/>
      <c r="Q5" s="28"/>
      <c r="R5" s="28"/>
      <c r="S5" s="28">
        <v>1050</v>
      </c>
      <c r="T5" s="28"/>
      <c r="U5" s="28"/>
      <c r="V5" s="28"/>
      <c r="W5" s="28"/>
      <c r="X5" s="28"/>
      <c r="Y5" s="28"/>
      <c r="Z5" s="28"/>
      <c r="AA5" s="28"/>
      <c r="AB5" s="28">
        <v>22</v>
      </c>
      <c r="AC5" s="28"/>
      <c r="AD5" s="28">
        <v>18</v>
      </c>
      <c r="AE5" s="28">
        <v>18</v>
      </c>
      <c r="AF5" s="28"/>
      <c r="AG5" s="28"/>
    </row>
    <row r="6" spans="1:33" ht="30.75" customHeight="1" x14ac:dyDescent="0.25">
      <c r="A6" s="20" t="s">
        <v>28</v>
      </c>
      <c r="B6" s="8" t="s">
        <v>23</v>
      </c>
      <c r="C6" s="8" t="s">
        <v>24</v>
      </c>
      <c r="D6" s="8" t="s">
        <v>25</v>
      </c>
      <c r="E6" s="9" t="s">
        <v>26</v>
      </c>
      <c r="F6" s="10" t="s">
        <v>20</v>
      </c>
      <c r="G6" s="6"/>
      <c r="H6" s="6"/>
      <c r="I6" s="6"/>
      <c r="J6" s="6"/>
      <c r="K6" s="6"/>
      <c r="L6" s="6"/>
      <c r="M6" s="6"/>
      <c r="N6" s="35"/>
      <c r="O6" s="39"/>
      <c r="P6" s="28"/>
      <c r="Q6" s="28"/>
      <c r="R6" s="28"/>
      <c r="S6" s="28">
        <v>1050</v>
      </c>
      <c r="T6" s="28"/>
      <c r="U6" s="28"/>
      <c r="V6" s="28"/>
      <c r="W6" s="28"/>
      <c r="X6" s="28"/>
      <c r="Y6" s="28"/>
      <c r="Z6" s="28"/>
      <c r="AA6" s="28"/>
      <c r="AB6" s="28">
        <v>22</v>
      </c>
      <c r="AC6" s="28"/>
      <c r="AD6" s="28">
        <v>18</v>
      </c>
      <c r="AE6" s="28">
        <v>18</v>
      </c>
      <c r="AF6" s="28"/>
      <c r="AG6" s="28"/>
    </row>
    <row r="7" spans="1:33" x14ac:dyDescent="0.25">
      <c r="A7" s="19" t="s">
        <v>29</v>
      </c>
      <c r="B7" s="8" t="s">
        <v>23</v>
      </c>
      <c r="C7" s="8" t="s">
        <v>24</v>
      </c>
      <c r="D7" s="8" t="s">
        <v>25</v>
      </c>
      <c r="E7" s="9" t="s">
        <v>30</v>
      </c>
      <c r="F7" s="10" t="s">
        <v>20</v>
      </c>
      <c r="G7" s="6"/>
      <c r="H7" s="6"/>
      <c r="I7" s="6"/>
      <c r="J7" s="6"/>
      <c r="K7" s="6"/>
      <c r="L7" s="6"/>
      <c r="M7" s="6" t="e">
        <f>VLOOKUP(A7,Merrick!$A$2:$G$46,7,FALSE)</f>
        <v>#N/A</v>
      </c>
      <c r="N7" s="35"/>
      <c r="O7" s="39"/>
      <c r="P7" s="28"/>
      <c r="Q7" s="28"/>
      <c r="R7" s="28"/>
      <c r="S7" s="28">
        <v>1050</v>
      </c>
      <c r="T7" s="28"/>
      <c r="U7" s="28"/>
      <c r="V7" s="28"/>
      <c r="W7" s="28"/>
      <c r="X7" s="28"/>
      <c r="Y7" s="28"/>
      <c r="Z7" s="28"/>
      <c r="AA7" s="28"/>
      <c r="AB7" s="28">
        <v>22</v>
      </c>
      <c r="AC7" s="28"/>
      <c r="AD7" s="28">
        <v>18</v>
      </c>
      <c r="AE7" s="28">
        <v>18</v>
      </c>
      <c r="AF7" s="28"/>
      <c r="AG7" s="28"/>
    </row>
    <row r="8" spans="1:33" x14ac:dyDescent="0.25">
      <c r="A8" s="19" t="s">
        <v>31</v>
      </c>
      <c r="B8" s="8" t="s">
        <v>23</v>
      </c>
      <c r="C8" s="8" t="s">
        <v>24</v>
      </c>
      <c r="D8" s="8" t="s">
        <v>25</v>
      </c>
      <c r="E8" s="9" t="s">
        <v>30</v>
      </c>
      <c r="F8" s="10" t="s">
        <v>20</v>
      </c>
      <c r="G8" s="6"/>
      <c r="H8" s="6"/>
      <c r="I8" s="6"/>
      <c r="J8" s="6"/>
      <c r="K8" s="6"/>
      <c r="L8" s="6"/>
      <c r="M8" s="6" t="e">
        <f>VLOOKUP(A8,Merrick!$A$2:$G$46,7,FALSE)</f>
        <v>#N/A</v>
      </c>
      <c r="N8" s="35"/>
      <c r="O8" s="39"/>
      <c r="P8" s="28"/>
      <c r="Q8" s="28"/>
      <c r="R8" s="28"/>
      <c r="S8" s="28">
        <v>1050</v>
      </c>
      <c r="T8" s="28"/>
      <c r="U8" s="28"/>
      <c r="V8" s="28"/>
      <c r="W8" s="28"/>
      <c r="X8" s="28"/>
      <c r="Y8" s="28"/>
      <c r="Z8" s="28"/>
      <c r="AA8" s="28"/>
      <c r="AB8" s="28">
        <v>22</v>
      </c>
      <c r="AC8" s="28"/>
      <c r="AD8" s="28">
        <v>18</v>
      </c>
      <c r="AE8" s="28">
        <v>18</v>
      </c>
      <c r="AF8" s="28"/>
      <c r="AG8" s="28"/>
    </row>
    <row r="9" spans="1:33" x14ac:dyDescent="0.25">
      <c r="A9" s="19" t="s">
        <v>32</v>
      </c>
      <c r="B9" s="8" t="s">
        <v>23</v>
      </c>
      <c r="C9" s="8" t="s">
        <v>24</v>
      </c>
      <c r="D9" s="8" t="s">
        <v>25</v>
      </c>
      <c r="E9" s="9" t="s">
        <v>30</v>
      </c>
      <c r="F9" s="10" t="s">
        <v>20</v>
      </c>
      <c r="G9" s="6"/>
      <c r="H9" s="6"/>
      <c r="I9" s="6"/>
      <c r="J9" s="6">
        <f>VLOOKUP(A9,'[1]Current Pricing'!A$2:J$75,10,FALSE)</f>
        <v>3.1</v>
      </c>
      <c r="K9" s="6">
        <v>2.95</v>
      </c>
      <c r="L9" s="6"/>
      <c r="M9" s="6" t="e">
        <f>VLOOKUP(A9,Merrick!$A$2:$G$46,7,FALSE)</f>
        <v>#N/A</v>
      </c>
      <c r="N9" s="35"/>
      <c r="O9" s="39"/>
      <c r="P9" s="28"/>
      <c r="Q9" s="28"/>
      <c r="R9" s="28"/>
      <c r="S9" s="28">
        <v>1050</v>
      </c>
      <c r="T9" s="28"/>
      <c r="U9" s="28"/>
      <c r="V9" s="28"/>
      <c r="W9" s="28"/>
      <c r="X9" s="28"/>
      <c r="Y9" s="28"/>
      <c r="Z9" s="28"/>
      <c r="AA9" s="28"/>
      <c r="AB9" s="28">
        <v>22</v>
      </c>
      <c r="AC9" s="28"/>
      <c r="AD9" s="28">
        <v>18</v>
      </c>
      <c r="AE9" s="28">
        <v>18</v>
      </c>
      <c r="AF9" s="28"/>
      <c r="AG9" s="28"/>
    </row>
    <row r="10" spans="1:33" ht="45.75" customHeight="1" x14ac:dyDescent="0.25">
      <c r="A10" s="20" t="s">
        <v>33</v>
      </c>
      <c r="B10" s="8" t="s">
        <v>23</v>
      </c>
      <c r="C10" s="8" t="s">
        <v>24</v>
      </c>
      <c r="D10" s="8" t="s">
        <v>25</v>
      </c>
      <c r="E10" s="9" t="s">
        <v>30</v>
      </c>
      <c r="F10" s="10" t="s">
        <v>20</v>
      </c>
      <c r="G10" s="6"/>
      <c r="H10" s="6"/>
      <c r="I10" s="6"/>
      <c r="J10" s="6">
        <f>VLOOKUP(A10,'[1]Current Pricing'!A$2:J$75,10,FALSE)</f>
        <v>3.1</v>
      </c>
      <c r="K10" s="6">
        <v>2.95</v>
      </c>
      <c r="L10" s="6"/>
      <c r="M10" s="6"/>
      <c r="N10" s="35">
        <v>3.1</v>
      </c>
      <c r="O10" s="39"/>
      <c r="P10" s="28"/>
      <c r="Q10" s="28"/>
      <c r="R10" s="28"/>
      <c r="S10" s="28">
        <v>1050</v>
      </c>
      <c r="T10" s="28"/>
      <c r="U10" s="28"/>
      <c r="V10" s="28"/>
      <c r="W10" s="28"/>
      <c r="X10" s="28"/>
      <c r="Y10" s="28"/>
      <c r="Z10" s="28"/>
      <c r="AA10" s="28"/>
      <c r="AB10" s="28">
        <v>22</v>
      </c>
      <c r="AC10" s="28"/>
      <c r="AD10" s="28">
        <v>18</v>
      </c>
      <c r="AE10" s="28">
        <v>18</v>
      </c>
      <c r="AF10" s="28"/>
      <c r="AG10" s="28"/>
    </row>
    <row r="11" spans="1:33" x14ac:dyDescent="0.25">
      <c r="A11" s="19" t="s">
        <v>34</v>
      </c>
      <c r="B11" s="8" t="s">
        <v>23</v>
      </c>
      <c r="C11" s="8" t="s">
        <v>24</v>
      </c>
      <c r="D11" s="8" t="s">
        <v>35</v>
      </c>
      <c r="E11" s="9" t="s">
        <v>26</v>
      </c>
      <c r="F11" s="10" t="s">
        <v>20</v>
      </c>
      <c r="G11" s="6"/>
      <c r="H11" s="6"/>
      <c r="I11" s="6"/>
      <c r="J11" s="6"/>
      <c r="K11" s="6"/>
      <c r="L11" s="6"/>
      <c r="M11" s="6" t="e">
        <f>VLOOKUP(A11,Merrick!$A$2:$G$46,7,FALSE)</f>
        <v>#N/A</v>
      </c>
      <c r="N11" s="35">
        <v>5.15</v>
      </c>
      <c r="O11" s="39"/>
      <c r="P11" s="28"/>
      <c r="Q11" s="28"/>
      <c r="R11" s="28"/>
      <c r="S11" s="28">
        <v>1050</v>
      </c>
      <c r="T11" s="28"/>
      <c r="U11" s="28"/>
      <c r="V11" s="28"/>
      <c r="W11" s="28"/>
      <c r="X11" s="28"/>
      <c r="Y11" s="28"/>
      <c r="Z11" s="28"/>
      <c r="AA11" s="28"/>
      <c r="AB11" s="28">
        <v>22</v>
      </c>
      <c r="AC11" s="28"/>
      <c r="AD11" s="28">
        <v>18</v>
      </c>
      <c r="AE11" s="28">
        <v>18</v>
      </c>
      <c r="AF11" s="28"/>
      <c r="AG11" s="28"/>
    </row>
    <row r="12" spans="1:33" x14ac:dyDescent="0.25">
      <c r="A12" s="19" t="s">
        <v>36</v>
      </c>
      <c r="B12" s="8" t="s">
        <v>23</v>
      </c>
      <c r="C12" s="8" t="s">
        <v>24</v>
      </c>
      <c r="D12" s="8" t="s">
        <v>35</v>
      </c>
      <c r="E12" s="9" t="s">
        <v>26</v>
      </c>
      <c r="F12" s="10" t="s">
        <v>20</v>
      </c>
      <c r="G12" s="6"/>
      <c r="H12" s="6"/>
      <c r="I12" s="6"/>
      <c r="J12" s="6"/>
      <c r="K12" s="6"/>
      <c r="L12" s="6"/>
      <c r="M12" s="6" t="e">
        <f>VLOOKUP(A12,Merrick!$A$2:$G$46,7,FALSE)</f>
        <v>#N/A</v>
      </c>
      <c r="N12" s="35"/>
      <c r="O12" s="39"/>
      <c r="P12" s="28"/>
      <c r="Q12" s="28"/>
      <c r="R12" s="28"/>
      <c r="S12" s="28">
        <v>1050</v>
      </c>
      <c r="T12" s="28"/>
      <c r="U12" s="28"/>
      <c r="V12" s="28"/>
      <c r="W12" s="28"/>
      <c r="X12" s="28"/>
      <c r="Y12" s="28"/>
      <c r="Z12" s="28"/>
      <c r="AA12" s="28"/>
      <c r="AB12" s="28">
        <v>22</v>
      </c>
      <c r="AC12" s="28"/>
      <c r="AD12" s="28">
        <v>18</v>
      </c>
      <c r="AE12" s="28">
        <v>18</v>
      </c>
      <c r="AF12" s="28"/>
      <c r="AG12" s="28"/>
    </row>
    <row r="13" spans="1:33" ht="30.75" customHeight="1" x14ac:dyDescent="0.25">
      <c r="A13" s="20" t="s">
        <v>37</v>
      </c>
      <c r="B13" s="8" t="s">
        <v>23</v>
      </c>
      <c r="C13" s="8" t="s">
        <v>24</v>
      </c>
      <c r="D13" s="8" t="s">
        <v>35</v>
      </c>
      <c r="E13" s="9" t="s">
        <v>26</v>
      </c>
      <c r="F13" s="10" t="s">
        <v>20</v>
      </c>
      <c r="G13" s="6"/>
      <c r="H13" s="6"/>
      <c r="I13" s="6"/>
      <c r="J13" s="6"/>
      <c r="K13" s="6"/>
      <c r="L13" s="6"/>
      <c r="M13" s="6"/>
      <c r="N13" s="35">
        <v>5.15</v>
      </c>
      <c r="O13" s="39"/>
      <c r="P13" s="28"/>
      <c r="Q13" s="28"/>
      <c r="R13" s="28"/>
      <c r="S13" s="28">
        <v>1050</v>
      </c>
      <c r="T13" s="28"/>
      <c r="U13" s="28"/>
      <c r="V13" s="28"/>
      <c r="W13" s="28"/>
      <c r="X13" s="28"/>
      <c r="Y13" s="28"/>
      <c r="Z13" s="28"/>
      <c r="AA13" s="28"/>
      <c r="AB13" s="28">
        <v>22</v>
      </c>
      <c r="AC13" s="28"/>
      <c r="AD13" s="28">
        <v>18</v>
      </c>
      <c r="AE13" s="28">
        <v>18</v>
      </c>
      <c r="AF13" s="28"/>
      <c r="AG13" s="28"/>
    </row>
    <row r="14" spans="1:33" x14ac:dyDescent="0.25">
      <c r="A14" s="19" t="s">
        <v>38</v>
      </c>
      <c r="B14" s="8" t="s">
        <v>23</v>
      </c>
      <c r="C14" s="8" t="s">
        <v>24</v>
      </c>
      <c r="D14" s="8" t="s">
        <v>35</v>
      </c>
      <c r="E14" s="9" t="s">
        <v>30</v>
      </c>
      <c r="F14" s="10" t="s">
        <v>20</v>
      </c>
      <c r="G14" s="6"/>
      <c r="H14" s="6"/>
      <c r="I14" s="6"/>
      <c r="J14" s="6">
        <v>5.27</v>
      </c>
      <c r="K14" s="6"/>
      <c r="L14" s="6"/>
      <c r="M14" s="6" t="e">
        <f>VLOOKUP(A14,Merrick!$A$2:$G$46,7,FALSE)</f>
        <v>#N/A</v>
      </c>
      <c r="N14" s="35"/>
      <c r="O14" s="39"/>
      <c r="P14" s="28"/>
      <c r="Q14" s="28"/>
      <c r="R14" s="28"/>
      <c r="S14" s="28">
        <v>1050</v>
      </c>
      <c r="T14" s="28"/>
      <c r="U14" s="28"/>
      <c r="V14" s="28"/>
      <c r="W14" s="28"/>
      <c r="X14" s="28"/>
      <c r="Y14" s="28"/>
      <c r="Z14" s="28"/>
      <c r="AA14" s="28"/>
      <c r="AB14" s="28">
        <v>22</v>
      </c>
      <c r="AC14" s="28"/>
      <c r="AD14" s="28">
        <v>18</v>
      </c>
      <c r="AE14" s="28">
        <v>18</v>
      </c>
      <c r="AF14" s="28"/>
      <c r="AG14" s="28"/>
    </row>
    <row r="15" spans="1:33" x14ac:dyDescent="0.25">
      <c r="A15" s="19" t="s">
        <v>39</v>
      </c>
      <c r="B15" s="8" t="s">
        <v>23</v>
      </c>
      <c r="C15" s="8" t="s">
        <v>24</v>
      </c>
      <c r="D15" s="8" t="s">
        <v>35</v>
      </c>
      <c r="E15" s="9" t="s">
        <v>30</v>
      </c>
      <c r="F15" s="10" t="s">
        <v>20</v>
      </c>
      <c r="G15" s="6"/>
      <c r="H15" s="6"/>
      <c r="I15" s="6"/>
      <c r="J15" s="6"/>
      <c r="K15" s="6"/>
      <c r="L15" s="6"/>
      <c r="M15" s="6" t="e">
        <f>VLOOKUP(A15,Merrick!$A$2:$G$46,7,FALSE)</f>
        <v>#N/A</v>
      </c>
      <c r="N15" s="35"/>
      <c r="O15" s="39"/>
      <c r="P15" s="28"/>
      <c r="Q15" s="28"/>
      <c r="R15" s="28"/>
      <c r="S15" s="28">
        <v>1050</v>
      </c>
      <c r="T15" s="28"/>
      <c r="U15" s="28"/>
      <c r="V15" s="28"/>
      <c r="W15" s="28"/>
      <c r="X15" s="28"/>
      <c r="Y15" s="28"/>
      <c r="Z15" s="28"/>
      <c r="AA15" s="28"/>
      <c r="AB15" s="28">
        <v>22</v>
      </c>
      <c r="AC15" s="28"/>
      <c r="AD15" s="28">
        <v>18</v>
      </c>
      <c r="AE15" s="28">
        <v>18</v>
      </c>
      <c r="AF15" s="28"/>
      <c r="AG15" s="28"/>
    </row>
    <row r="16" spans="1:33" x14ac:dyDescent="0.25">
      <c r="A16" s="19" t="s">
        <v>40</v>
      </c>
      <c r="B16" s="8" t="s">
        <v>23</v>
      </c>
      <c r="C16" s="8" t="s">
        <v>24</v>
      </c>
      <c r="D16" s="8" t="s">
        <v>35</v>
      </c>
      <c r="E16" s="9" t="s">
        <v>30</v>
      </c>
      <c r="F16" s="10" t="s">
        <v>20</v>
      </c>
      <c r="G16" s="6"/>
      <c r="H16" s="6"/>
      <c r="I16" s="6"/>
      <c r="J16" s="6"/>
      <c r="K16" s="6">
        <v>3.95</v>
      </c>
      <c r="L16" s="6"/>
      <c r="M16" s="6" t="e">
        <f>VLOOKUP(A16,Merrick!$A$2:$G$46,7,FALSE)</f>
        <v>#N/A</v>
      </c>
      <c r="N16" s="35"/>
      <c r="O16" s="39"/>
      <c r="P16" s="28"/>
      <c r="Q16" s="28"/>
      <c r="R16" s="28"/>
      <c r="S16" s="28">
        <v>1050</v>
      </c>
      <c r="T16" s="28"/>
      <c r="U16" s="28"/>
      <c r="V16" s="28"/>
      <c r="W16" s="28"/>
      <c r="X16" s="28"/>
      <c r="Y16" s="28"/>
      <c r="Z16" s="28"/>
      <c r="AA16" s="28"/>
      <c r="AB16" s="28">
        <v>22</v>
      </c>
      <c r="AC16" s="28"/>
      <c r="AD16" s="28">
        <v>18</v>
      </c>
      <c r="AE16" s="28">
        <v>18</v>
      </c>
      <c r="AF16" s="28"/>
      <c r="AG16" s="28"/>
    </row>
    <row r="17" spans="1:33" ht="45.75" customHeight="1" x14ac:dyDescent="0.25">
      <c r="A17" s="20" t="s">
        <v>41</v>
      </c>
      <c r="B17" s="8" t="s">
        <v>23</v>
      </c>
      <c r="C17" s="8" t="s">
        <v>24</v>
      </c>
      <c r="D17" s="8" t="s">
        <v>35</v>
      </c>
      <c r="E17" s="9" t="s">
        <v>30</v>
      </c>
      <c r="F17" s="10" t="s">
        <v>20</v>
      </c>
      <c r="G17" s="6"/>
      <c r="H17" s="6"/>
      <c r="I17" s="6"/>
      <c r="J17" s="6">
        <v>5.27</v>
      </c>
      <c r="K17" s="6">
        <v>3.95</v>
      </c>
      <c r="L17" s="6"/>
      <c r="M17" s="6"/>
      <c r="N17" s="35">
        <v>3.52</v>
      </c>
      <c r="O17" s="39"/>
      <c r="P17" s="28"/>
      <c r="Q17" s="28"/>
      <c r="R17" s="28"/>
      <c r="S17" s="28">
        <v>1050</v>
      </c>
      <c r="T17" s="28"/>
      <c r="U17" s="28"/>
      <c r="V17" s="28"/>
      <c r="W17" s="28"/>
      <c r="X17" s="28"/>
      <c r="Y17" s="28"/>
      <c r="Z17" s="28"/>
      <c r="AA17" s="28"/>
      <c r="AB17" s="28">
        <v>22</v>
      </c>
      <c r="AC17" s="28"/>
      <c r="AD17" s="28">
        <v>18</v>
      </c>
      <c r="AE17" s="28">
        <v>18</v>
      </c>
      <c r="AF17" s="28"/>
      <c r="AG17" s="28"/>
    </row>
    <row r="18" spans="1:33" x14ac:dyDescent="0.25">
      <c r="A18" s="19" t="s">
        <v>42</v>
      </c>
      <c r="B18" s="8" t="s">
        <v>23</v>
      </c>
      <c r="C18" s="8" t="s">
        <v>43</v>
      </c>
      <c r="D18" s="8" t="s">
        <v>25</v>
      </c>
      <c r="E18" s="9" t="s">
        <v>26</v>
      </c>
      <c r="F18" s="10" t="s">
        <v>20</v>
      </c>
      <c r="G18" s="6"/>
      <c r="H18" s="6"/>
      <c r="I18" s="6"/>
      <c r="J18" s="6"/>
      <c r="K18" s="6"/>
      <c r="L18" s="6"/>
      <c r="M18" s="6" t="e">
        <f>VLOOKUP(A18,Merrick!$A$2:$G$46,7,FALSE)</f>
        <v>#N/A</v>
      </c>
      <c r="N18" s="35"/>
      <c r="O18" s="39"/>
      <c r="P18" s="28"/>
      <c r="Q18" s="28"/>
      <c r="R18" s="28"/>
      <c r="S18" s="28">
        <v>1050</v>
      </c>
      <c r="T18" s="28"/>
      <c r="U18" s="28"/>
      <c r="V18" s="28"/>
      <c r="W18" s="28"/>
      <c r="X18" s="28"/>
      <c r="Y18" s="28"/>
      <c r="Z18" s="28"/>
      <c r="AA18" s="28"/>
      <c r="AB18" s="28">
        <v>22</v>
      </c>
      <c r="AC18" s="28"/>
      <c r="AD18" s="28">
        <v>18</v>
      </c>
      <c r="AE18" s="28">
        <v>18</v>
      </c>
      <c r="AF18" s="28"/>
      <c r="AG18" s="28"/>
    </row>
    <row r="19" spans="1:33" x14ac:dyDescent="0.25">
      <c r="A19" s="19" t="s">
        <v>44</v>
      </c>
      <c r="B19" s="8" t="s">
        <v>23</v>
      </c>
      <c r="C19" s="8" t="s">
        <v>43</v>
      </c>
      <c r="D19" s="8" t="s">
        <v>25</v>
      </c>
      <c r="E19" s="9" t="s">
        <v>26</v>
      </c>
      <c r="F19" s="10" t="s">
        <v>20</v>
      </c>
      <c r="G19" s="6"/>
      <c r="H19" s="6"/>
      <c r="I19" s="6"/>
      <c r="J19" s="6"/>
      <c r="K19" s="6"/>
      <c r="L19" s="6"/>
      <c r="M19" s="6" t="e">
        <f>VLOOKUP(A19,Merrick!$A$2:$G$46,7,FALSE)</f>
        <v>#N/A</v>
      </c>
      <c r="N19" s="35"/>
      <c r="O19" s="39"/>
      <c r="P19" s="28"/>
      <c r="Q19" s="28"/>
      <c r="R19" s="28"/>
      <c r="S19" s="28">
        <v>1050</v>
      </c>
      <c r="T19" s="28"/>
      <c r="U19" s="28"/>
      <c r="V19" s="28"/>
      <c r="W19" s="28"/>
      <c r="X19" s="28"/>
      <c r="Y19" s="28"/>
      <c r="Z19" s="28"/>
      <c r="AA19" s="28"/>
      <c r="AB19" s="28">
        <v>22</v>
      </c>
      <c r="AC19" s="28"/>
      <c r="AD19" s="28">
        <v>18</v>
      </c>
      <c r="AE19" s="28">
        <v>18</v>
      </c>
      <c r="AF19" s="28"/>
      <c r="AG19" s="28"/>
    </row>
    <row r="20" spans="1:33" x14ac:dyDescent="0.25">
      <c r="A20" s="19" t="s">
        <v>45</v>
      </c>
      <c r="B20" s="8" t="s">
        <v>23</v>
      </c>
      <c r="C20" s="8" t="s">
        <v>43</v>
      </c>
      <c r="D20" s="8" t="s">
        <v>25</v>
      </c>
      <c r="E20" s="9" t="s">
        <v>26</v>
      </c>
      <c r="F20" s="10" t="s">
        <v>20</v>
      </c>
      <c r="G20" s="6"/>
      <c r="H20" s="6"/>
      <c r="I20" s="6"/>
      <c r="J20" s="6"/>
      <c r="K20" s="6"/>
      <c r="L20" s="6"/>
      <c r="M20" s="6" t="e">
        <f>VLOOKUP(A20,Merrick!$A$2:$G$46,7,FALSE)</f>
        <v>#N/A</v>
      </c>
      <c r="N20" s="35"/>
      <c r="O20" s="39"/>
      <c r="P20" s="28"/>
      <c r="Q20" s="28"/>
      <c r="R20" s="28"/>
      <c r="S20" s="28">
        <v>1050</v>
      </c>
      <c r="T20" s="28"/>
      <c r="U20" s="28"/>
      <c r="V20" s="28"/>
      <c r="W20" s="28"/>
      <c r="X20" s="28"/>
      <c r="Y20" s="28"/>
      <c r="Z20" s="28"/>
      <c r="AA20" s="28"/>
      <c r="AB20" s="28">
        <v>22</v>
      </c>
      <c r="AC20" s="28"/>
      <c r="AD20" s="28">
        <v>18</v>
      </c>
      <c r="AE20" s="28">
        <v>18</v>
      </c>
      <c r="AF20" s="28"/>
      <c r="AG20" s="28"/>
    </row>
    <row r="21" spans="1:33" ht="45.75" customHeight="1" x14ac:dyDescent="0.25">
      <c r="A21" s="20" t="s">
        <v>46</v>
      </c>
      <c r="B21" s="8" t="s">
        <v>23</v>
      </c>
      <c r="C21" s="8" t="s">
        <v>43</v>
      </c>
      <c r="D21" s="8" t="s">
        <v>25</v>
      </c>
      <c r="E21" s="9" t="s">
        <v>26</v>
      </c>
      <c r="F21" s="10" t="s">
        <v>20</v>
      </c>
      <c r="G21" s="6"/>
      <c r="H21" s="6"/>
      <c r="I21" s="6"/>
      <c r="J21" s="6"/>
      <c r="K21" s="6"/>
      <c r="L21" s="6"/>
      <c r="M21" s="6"/>
      <c r="N21" s="35"/>
      <c r="O21" s="39"/>
      <c r="P21" s="28"/>
      <c r="Q21" s="28"/>
      <c r="R21" s="28"/>
      <c r="S21" s="28">
        <v>1050</v>
      </c>
      <c r="T21" s="28"/>
      <c r="U21" s="28"/>
      <c r="V21" s="28"/>
      <c r="W21" s="28"/>
      <c r="X21" s="28"/>
      <c r="Y21" s="28"/>
      <c r="Z21" s="28"/>
      <c r="AA21" s="28"/>
      <c r="AB21" s="28">
        <v>22</v>
      </c>
      <c r="AC21" s="28"/>
      <c r="AD21" s="28">
        <v>18</v>
      </c>
      <c r="AE21" s="28">
        <v>18</v>
      </c>
      <c r="AF21" s="28"/>
      <c r="AG21" s="28"/>
    </row>
    <row r="22" spans="1:33" x14ac:dyDescent="0.25">
      <c r="A22" s="19" t="s">
        <v>47</v>
      </c>
      <c r="B22" s="8" t="s">
        <v>23</v>
      </c>
      <c r="C22" s="8" t="s">
        <v>43</v>
      </c>
      <c r="D22" s="8" t="s">
        <v>25</v>
      </c>
      <c r="E22" s="9" t="s">
        <v>30</v>
      </c>
      <c r="F22" s="10" t="s">
        <v>20</v>
      </c>
      <c r="G22" s="6"/>
      <c r="H22" s="6"/>
      <c r="I22" s="6"/>
      <c r="J22" s="6"/>
      <c r="K22" s="6">
        <v>2.5499999999999998</v>
      </c>
      <c r="L22" s="6"/>
      <c r="M22" s="6" t="e">
        <f>VLOOKUP(A22,Merrick!$A$2:$G$46,7,FALSE)</f>
        <v>#N/A</v>
      </c>
      <c r="N22" s="35"/>
      <c r="O22" s="39"/>
      <c r="P22" s="28"/>
      <c r="Q22" s="28"/>
      <c r="R22" s="28"/>
      <c r="S22" s="28">
        <v>1050</v>
      </c>
      <c r="T22" s="28"/>
      <c r="U22" s="28"/>
      <c r="V22" s="28"/>
      <c r="W22" s="28"/>
      <c r="X22" s="28"/>
      <c r="Y22" s="28"/>
      <c r="Z22" s="28"/>
      <c r="AA22" s="28"/>
      <c r="AB22" s="28">
        <v>22</v>
      </c>
      <c r="AC22" s="28"/>
      <c r="AD22" s="28">
        <v>18</v>
      </c>
      <c r="AE22" s="28">
        <v>18</v>
      </c>
      <c r="AF22" s="28"/>
      <c r="AG22" s="28"/>
    </row>
    <row r="23" spans="1:33" x14ac:dyDescent="0.25">
      <c r="A23" s="19" t="s">
        <v>48</v>
      </c>
      <c r="B23" s="8" t="s">
        <v>23</v>
      </c>
      <c r="C23" s="8" t="s">
        <v>43</v>
      </c>
      <c r="D23" s="8" t="s">
        <v>25</v>
      </c>
      <c r="E23" s="9" t="s">
        <v>30</v>
      </c>
      <c r="F23" s="10" t="s">
        <v>20</v>
      </c>
      <c r="G23" s="6"/>
      <c r="H23" s="6"/>
      <c r="I23" s="6"/>
      <c r="J23" s="6">
        <f>VLOOKUP(A23,'[1]Current Pricing'!A$2:J$75,10,FALSE)</f>
        <v>2.4</v>
      </c>
      <c r="K23" s="6"/>
      <c r="L23" s="6"/>
      <c r="M23" s="6" t="e">
        <f>VLOOKUP(A23,Merrick!$A$2:$G$46,7,FALSE)</f>
        <v>#N/A</v>
      </c>
      <c r="N23" s="35"/>
      <c r="O23" s="39"/>
      <c r="P23" s="28"/>
      <c r="Q23" s="28"/>
      <c r="R23" s="28"/>
      <c r="S23" s="28">
        <v>1050</v>
      </c>
      <c r="T23" s="28"/>
      <c r="U23" s="28"/>
      <c r="V23" s="28"/>
      <c r="W23" s="28"/>
      <c r="X23" s="28"/>
      <c r="Y23" s="28"/>
      <c r="Z23" s="28"/>
      <c r="AA23" s="28"/>
      <c r="AB23" s="28">
        <v>22</v>
      </c>
      <c r="AC23" s="28"/>
      <c r="AD23" s="28">
        <v>18</v>
      </c>
      <c r="AE23" s="28">
        <v>18</v>
      </c>
      <c r="AF23" s="28"/>
      <c r="AG23" s="28"/>
    </row>
    <row r="24" spans="1:33" x14ac:dyDescent="0.25">
      <c r="A24" s="19" t="s">
        <v>49</v>
      </c>
      <c r="B24" s="8" t="s">
        <v>23</v>
      </c>
      <c r="C24" s="8" t="s">
        <v>43</v>
      </c>
      <c r="D24" s="8" t="s">
        <v>25</v>
      </c>
      <c r="E24" s="9" t="s">
        <v>30</v>
      </c>
      <c r="F24" s="10" t="s">
        <v>20</v>
      </c>
      <c r="G24" s="6"/>
      <c r="H24" s="6"/>
      <c r="I24" s="6"/>
      <c r="J24" s="6"/>
      <c r="K24" s="6"/>
      <c r="L24" s="6"/>
      <c r="M24" s="6" t="e">
        <f>VLOOKUP(A24,Merrick!$A$2:$G$46,7,FALSE)</f>
        <v>#N/A</v>
      </c>
      <c r="N24" s="35">
        <v>2.98</v>
      </c>
      <c r="O24" s="39"/>
      <c r="P24" s="28"/>
      <c r="Q24" s="28"/>
      <c r="R24" s="28"/>
      <c r="S24" s="28">
        <v>1050</v>
      </c>
      <c r="T24" s="28"/>
      <c r="U24" s="28"/>
      <c r="V24" s="28"/>
      <c r="W24" s="28"/>
      <c r="X24" s="28"/>
      <c r="Y24" s="28"/>
      <c r="Z24" s="28"/>
      <c r="AA24" s="28"/>
      <c r="AB24" s="28">
        <v>22</v>
      </c>
      <c r="AC24" s="28"/>
      <c r="AD24" s="28">
        <v>18</v>
      </c>
      <c r="AE24" s="28">
        <v>18</v>
      </c>
      <c r="AF24" s="28"/>
      <c r="AG24" s="28"/>
    </row>
    <row r="25" spans="1:33" ht="45.75" customHeight="1" x14ac:dyDescent="0.25">
      <c r="A25" s="20" t="s">
        <v>50</v>
      </c>
      <c r="B25" s="8" t="s">
        <v>23</v>
      </c>
      <c r="C25" s="8" t="s">
        <v>43</v>
      </c>
      <c r="D25" s="8" t="s">
        <v>25</v>
      </c>
      <c r="E25" s="9" t="s">
        <v>30</v>
      </c>
      <c r="F25" s="10" t="s">
        <v>20</v>
      </c>
      <c r="G25" s="6"/>
      <c r="H25" s="6"/>
      <c r="I25" s="6"/>
      <c r="J25" s="6">
        <f>VLOOKUP(A25,'[1]Current Pricing'!A$2:J$75,10,FALSE)</f>
        <v>2.4</v>
      </c>
      <c r="K25" s="6">
        <v>2.5499999999999998</v>
      </c>
      <c r="L25" s="6"/>
      <c r="M25" s="6"/>
      <c r="N25" s="35">
        <v>2.98</v>
      </c>
      <c r="O25" s="39"/>
      <c r="P25" s="28"/>
      <c r="Q25" s="28"/>
      <c r="R25" s="28"/>
      <c r="S25" s="28">
        <v>1050</v>
      </c>
      <c r="T25" s="28"/>
      <c r="U25" s="28"/>
      <c r="V25" s="28"/>
      <c r="W25" s="28"/>
      <c r="X25" s="28"/>
      <c r="Y25" s="28"/>
      <c r="Z25" s="28"/>
      <c r="AA25" s="28"/>
      <c r="AB25" s="28">
        <v>22</v>
      </c>
      <c r="AC25" s="28"/>
      <c r="AD25" s="28">
        <v>18</v>
      </c>
      <c r="AE25" s="28">
        <v>18</v>
      </c>
      <c r="AF25" s="28"/>
      <c r="AG25" s="28"/>
    </row>
    <row r="26" spans="1:33" x14ac:dyDescent="0.25">
      <c r="A26" s="19" t="s">
        <v>51</v>
      </c>
      <c r="B26" s="8" t="s">
        <v>23</v>
      </c>
      <c r="C26" s="8" t="s">
        <v>43</v>
      </c>
      <c r="D26" s="8" t="s">
        <v>35</v>
      </c>
      <c r="E26" s="9" t="s">
        <v>26</v>
      </c>
      <c r="F26" s="10" t="s">
        <v>20</v>
      </c>
      <c r="G26" s="6"/>
      <c r="H26" s="6"/>
      <c r="I26" s="6"/>
      <c r="J26" s="6"/>
      <c r="K26" s="6"/>
      <c r="L26" s="6"/>
      <c r="M26" s="6" t="e">
        <f>VLOOKUP(A26,Merrick!$A$2:$G$46,7,FALSE)</f>
        <v>#N/A</v>
      </c>
      <c r="N26" s="35"/>
      <c r="O26" s="39"/>
      <c r="P26" s="28"/>
      <c r="Q26" s="28"/>
      <c r="R26" s="28"/>
      <c r="S26" s="28">
        <v>1050</v>
      </c>
      <c r="T26" s="28"/>
      <c r="U26" s="28"/>
      <c r="V26" s="28"/>
      <c r="W26" s="28"/>
      <c r="X26" s="28"/>
      <c r="Y26" s="28"/>
      <c r="Z26" s="28"/>
      <c r="AA26" s="28"/>
      <c r="AB26" s="28">
        <v>22</v>
      </c>
      <c r="AC26" s="28"/>
      <c r="AD26" s="28">
        <v>18</v>
      </c>
      <c r="AE26" s="28">
        <v>18</v>
      </c>
      <c r="AF26" s="28"/>
      <c r="AG26" s="28"/>
    </row>
    <row r="27" spans="1:33" x14ac:dyDescent="0.25">
      <c r="A27" s="19" t="s">
        <v>52</v>
      </c>
      <c r="B27" s="8" t="s">
        <v>23</v>
      </c>
      <c r="C27" s="8" t="s">
        <v>43</v>
      </c>
      <c r="D27" s="8" t="s">
        <v>35</v>
      </c>
      <c r="E27" s="9" t="s">
        <v>26</v>
      </c>
      <c r="F27" s="10" t="s">
        <v>20</v>
      </c>
      <c r="G27" s="6"/>
      <c r="H27" s="6"/>
      <c r="I27" s="6"/>
      <c r="J27" s="6"/>
      <c r="K27" s="6"/>
      <c r="L27" s="6"/>
      <c r="M27" s="6" t="e">
        <f>VLOOKUP(A27,Merrick!$A$2:$G$46,7,FALSE)</f>
        <v>#N/A</v>
      </c>
      <c r="N27" s="35"/>
      <c r="O27" s="39"/>
      <c r="P27" s="28"/>
      <c r="Q27" s="28"/>
      <c r="R27" s="28"/>
      <c r="S27" s="28">
        <v>1050</v>
      </c>
      <c r="T27" s="28"/>
      <c r="U27" s="28"/>
      <c r="V27" s="28"/>
      <c r="W27" s="28"/>
      <c r="X27" s="28"/>
      <c r="Y27" s="28"/>
      <c r="Z27" s="28"/>
      <c r="AA27" s="28"/>
      <c r="AB27" s="28">
        <v>22</v>
      </c>
      <c r="AC27" s="28"/>
      <c r="AD27" s="28">
        <v>18</v>
      </c>
      <c r="AE27" s="28">
        <v>18</v>
      </c>
      <c r="AF27" s="28"/>
      <c r="AG27" s="28"/>
    </row>
    <row r="28" spans="1:33" x14ac:dyDescent="0.25">
      <c r="A28" s="19" t="s">
        <v>53</v>
      </c>
      <c r="B28" s="8" t="s">
        <v>23</v>
      </c>
      <c r="C28" s="8" t="s">
        <v>43</v>
      </c>
      <c r="D28" s="8" t="s">
        <v>35</v>
      </c>
      <c r="E28" s="9" t="s">
        <v>26</v>
      </c>
      <c r="F28" s="10" t="s">
        <v>20</v>
      </c>
      <c r="G28" s="6"/>
      <c r="H28" s="6"/>
      <c r="I28" s="6"/>
      <c r="J28" s="6"/>
      <c r="K28" s="6">
        <v>3.98</v>
      </c>
      <c r="L28" s="6"/>
      <c r="M28" s="6" t="e">
        <f>VLOOKUP(A28,Merrick!$A$2:$G$46,7,FALSE)</f>
        <v>#N/A</v>
      </c>
      <c r="N28" s="35"/>
      <c r="O28" s="39"/>
      <c r="P28" s="28"/>
      <c r="Q28" s="28"/>
      <c r="R28" s="28"/>
      <c r="S28" s="28">
        <v>1050</v>
      </c>
      <c r="T28" s="28"/>
      <c r="U28" s="28"/>
      <c r="V28" s="28"/>
      <c r="W28" s="28"/>
      <c r="X28" s="28"/>
      <c r="Y28" s="28"/>
      <c r="Z28" s="28"/>
      <c r="AA28" s="28"/>
      <c r="AB28" s="28">
        <v>22</v>
      </c>
      <c r="AC28" s="28"/>
      <c r="AD28" s="28">
        <v>18</v>
      </c>
      <c r="AE28" s="28">
        <v>18</v>
      </c>
      <c r="AF28" s="28"/>
      <c r="AG28" s="28"/>
    </row>
    <row r="29" spans="1:33" ht="45.75" customHeight="1" x14ac:dyDescent="0.25">
      <c r="A29" s="20" t="s">
        <v>54</v>
      </c>
      <c r="B29" s="8" t="s">
        <v>23</v>
      </c>
      <c r="C29" s="8" t="s">
        <v>43</v>
      </c>
      <c r="D29" s="8" t="s">
        <v>35</v>
      </c>
      <c r="E29" s="9" t="s">
        <v>26</v>
      </c>
      <c r="F29" s="10" t="s">
        <v>20</v>
      </c>
      <c r="G29" s="6"/>
      <c r="H29" s="6"/>
      <c r="I29" s="6"/>
      <c r="J29" s="6">
        <v>5.69</v>
      </c>
      <c r="K29" s="6">
        <v>3.98</v>
      </c>
      <c r="L29" s="6"/>
      <c r="M29" s="6"/>
      <c r="N29" s="35">
        <v>4.95</v>
      </c>
      <c r="O29" s="39"/>
      <c r="P29" s="28"/>
      <c r="Q29" s="28"/>
      <c r="R29" s="28"/>
      <c r="S29" s="28">
        <v>1050</v>
      </c>
      <c r="T29" s="28"/>
      <c r="U29" s="28"/>
      <c r="V29" s="28"/>
      <c r="W29" s="28"/>
      <c r="X29" s="28"/>
      <c r="Y29" s="28"/>
      <c r="Z29" s="28"/>
      <c r="AA29" s="28"/>
      <c r="AB29" s="28">
        <v>22</v>
      </c>
      <c r="AC29" s="28"/>
      <c r="AD29" s="28">
        <v>18</v>
      </c>
      <c r="AE29" s="28">
        <v>18</v>
      </c>
      <c r="AF29" s="28"/>
      <c r="AG29" s="28"/>
    </row>
    <row r="30" spans="1:33" x14ac:dyDescent="0.25">
      <c r="A30" s="19" t="s">
        <v>55</v>
      </c>
      <c r="B30" s="8" t="s">
        <v>23</v>
      </c>
      <c r="C30" s="8" t="s">
        <v>43</v>
      </c>
      <c r="D30" s="8" t="s">
        <v>35</v>
      </c>
      <c r="E30" s="9" t="s">
        <v>30</v>
      </c>
      <c r="F30" s="10" t="s">
        <v>20</v>
      </c>
      <c r="G30" s="6"/>
      <c r="H30" s="6"/>
      <c r="I30" s="6"/>
      <c r="J30" s="6">
        <f>VLOOKUP(A30,'[1]Current Pricing'!A$2:J$75,10,FALSE)</f>
        <v>3.65</v>
      </c>
      <c r="K30" s="6"/>
      <c r="L30" s="6"/>
      <c r="M30" s="6" t="e">
        <f>VLOOKUP(A30,Merrick!$A$2:$G$46,7,FALSE)</f>
        <v>#N/A</v>
      </c>
      <c r="N30" s="35"/>
      <c r="O30" s="39"/>
      <c r="P30" s="28"/>
      <c r="Q30" s="28"/>
      <c r="R30" s="28"/>
      <c r="S30" s="28">
        <v>1050</v>
      </c>
      <c r="T30" s="28"/>
      <c r="U30" s="28"/>
      <c r="V30" s="28"/>
      <c r="W30" s="28"/>
      <c r="X30" s="28"/>
      <c r="Y30" s="28"/>
      <c r="Z30" s="28"/>
      <c r="AA30" s="28"/>
      <c r="AB30" s="28">
        <v>22</v>
      </c>
      <c r="AC30" s="28"/>
      <c r="AD30" s="28">
        <v>18</v>
      </c>
      <c r="AE30" s="28">
        <v>18</v>
      </c>
      <c r="AF30" s="28"/>
      <c r="AG30" s="28"/>
    </row>
    <row r="31" spans="1:33" x14ac:dyDescent="0.25">
      <c r="A31" s="19" t="s">
        <v>56</v>
      </c>
      <c r="B31" s="8" t="s">
        <v>23</v>
      </c>
      <c r="C31" s="8" t="s">
        <v>43</v>
      </c>
      <c r="D31" s="8" t="s">
        <v>35</v>
      </c>
      <c r="E31" s="9" t="s">
        <v>30</v>
      </c>
      <c r="F31" s="10" t="s">
        <v>20</v>
      </c>
      <c r="G31" s="6"/>
      <c r="H31" s="6"/>
      <c r="I31" s="6"/>
      <c r="J31" s="6"/>
      <c r="K31" s="6"/>
      <c r="L31" s="6"/>
      <c r="M31" s="6" t="e">
        <f>VLOOKUP(A31,Merrick!$A$2:$G$46,7,FALSE)</f>
        <v>#N/A</v>
      </c>
      <c r="N31" s="35"/>
      <c r="O31" s="39"/>
      <c r="P31" s="28"/>
      <c r="Q31" s="28"/>
      <c r="R31" s="28"/>
      <c r="S31" s="28">
        <v>1050</v>
      </c>
      <c r="T31" s="28"/>
      <c r="U31" s="28"/>
      <c r="V31" s="28"/>
      <c r="W31" s="28"/>
      <c r="X31" s="28"/>
      <c r="Y31" s="28"/>
      <c r="Z31" s="28"/>
      <c r="AA31" s="28"/>
      <c r="AB31" s="28">
        <v>22</v>
      </c>
      <c r="AC31" s="28"/>
      <c r="AD31" s="28">
        <v>18</v>
      </c>
      <c r="AE31" s="28">
        <v>18</v>
      </c>
      <c r="AF31" s="28"/>
      <c r="AG31" s="28"/>
    </row>
    <row r="32" spans="1:33" x14ac:dyDescent="0.25">
      <c r="A32" s="19" t="s">
        <v>57</v>
      </c>
      <c r="B32" s="8" t="s">
        <v>23</v>
      </c>
      <c r="C32" s="8" t="s">
        <v>43</v>
      </c>
      <c r="D32" s="8" t="s">
        <v>35</v>
      </c>
      <c r="E32" s="9" t="s">
        <v>30</v>
      </c>
      <c r="F32" s="10" t="s">
        <v>20</v>
      </c>
      <c r="G32" s="6"/>
      <c r="H32" s="6"/>
      <c r="I32" s="6"/>
      <c r="J32" s="6"/>
      <c r="K32" s="6">
        <v>3.55</v>
      </c>
      <c r="L32" s="6"/>
      <c r="M32" s="6" t="e">
        <f>VLOOKUP(A32,Merrick!$A$2:$G$46,7,FALSE)</f>
        <v>#N/A</v>
      </c>
      <c r="N32" s="35"/>
      <c r="O32" s="39"/>
      <c r="P32" s="28"/>
      <c r="Q32" s="28"/>
      <c r="R32" s="28"/>
      <c r="S32" s="28">
        <v>1050</v>
      </c>
      <c r="T32" s="28"/>
      <c r="U32" s="28"/>
      <c r="V32" s="28"/>
      <c r="W32" s="28"/>
      <c r="X32" s="28"/>
      <c r="Y32" s="28"/>
      <c r="Z32" s="28"/>
      <c r="AA32" s="28"/>
      <c r="AB32" s="28">
        <v>22</v>
      </c>
      <c r="AC32" s="28"/>
      <c r="AD32" s="28">
        <v>18</v>
      </c>
      <c r="AE32" s="28">
        <v>18</v>
      </c>
      <c r="AF32" s="28"/>
      <c r="AG32" s="28"/>
    </row>
    <row r="33" spans="1:33" ht="45.75" customHeight="1" x14ac:dyDescent="0.25">
      <c r="A33" s="20" t="s">
        <v>58</v>
      </c>
      <c r="B33" s="8" t="s">
        <v>23</v>
      </c>
      <c r="C33" s="8" t="s">
        <v>43</v>
      </c>
      <c r="D33" s="8" t="s">
        <v>35</v>
      </c>
      <c r="E33" s="9" t="s">
        <v>30</v>
      </c>
      <c r="F33" s="10" t="s">
        <v>20</v>
      </c>
      <c r="G33" s="6"/>
      <c r="H33" s="6"/>
      <c r="I33" s="6"/>
      <c r="J33" s="6">
        <f>VLOOKUP(A33,'[1]Current Pricing'!A$2:J$75,10,FALSE)</f>
        <v>3.65</v>
      </c>
      <c r="K33" s="6">
        <v>3.55</v>
      </c>
      <c r="L33" s="6"/>
      <c r="M33" s="6"/>
      <c r="N33" s="35">
        <v>3.49</v>
      </c>
      <c r="O33" s="39"/>
      <c r="P33" s="28"/>
      <c r="Q33" s="28"/>
      <c r="R33" s="28"/>
      <c r="S33" s="28">
        <v>1050</v>
      </c>
      <c r="T33" s="28"/>
      <c r="U33" s="28"/>
      <c r="V33" s="28"/>
      <c r="W33" s="28"/>
      <c r="X33" s="28"/>
      <c r="Y33" s="28"/>
      <c r="Z33" s="28"/>
      <c r="AA33" s="28"/>
      <c r="AB33" s="28">
        <v>22</v>
      </c>
      <c r="AC33" s="28"/>
      <c r="AD33" s="28">
        <v>18</v>
      </c>
      <c r="AE33" s="28">
        <v>18</v>
      </c>
      <c r="AF33" s="28"/>
      <c r="AG33" s="28"/>
    </row>
    <row r="34" spans="1:33" x14ac:dyDescent="0.25">
      <c r="A34" s="11" t="s">
        <v>59</v>
      </c>
      <c r="B34" s="8" t="s">
        <v>60</v>
      </c>
      <c r="C34" s="8" t="s">
        <v>24</v>
      </c>
      <c r="D34" s="8" t="s">
        <v>25</v>
      </c>
      <c r="E34" s="9" t="s">
        <v>30</v>
      </c>
      <c r="F34" s="10" t="s">
        <v>20</v>
      </c>
      <c r="G34" s="6"/>
      <c r="H34" s="6">
        <v>3.4</v>
      </c>
      <c r="I34" s="6">
        <v>3.5</v>
      </c>
      <c r="J34" s="21">
        <f>VLOOKUP(A34,'[1]Current Pricing'!A$2:J$75,10,FALSE)</f>
        <v>3.3</v>
      </c>
      <c r="K34" s="6"/>
      <c r="L34" s="6"/>
      <c r="M34" s="6" t="e">
        <f>VLOOKUP(A34,Merrick!$A$2:$G$46,7,FALSE)</f>
        <v>#N/A</v>
      </c>
      <c r="N34" s="35"/>
      <c r="O34" s="39"/>
      <c r="P34" s="28"/>
      <c r="Q34" s="28"/>
      <c r="R34" s="28"/>
      <c r="S34" s="28">
        <v>1012.8</v>
      </c>
      <c r="T34" s="28"/>
      <c r="U34" s="28"/>
      <c r="V34" s="28"/>
      <c r="W34" s="28"/>
      <c r="X34" s="28"/>
      <c r="Y34" s="28"/>
      <c r="Z34" s="28"/>
      <c r="AA34" s="28">
        <v>16</v>
      </c>
      <c r="AB34" s="28">
        <v>22</v>
      </c>
      <c r="AC34" s="28"/>
      <c r="AD34" s="28">
        <v>18</v>
      </c>
      <c r="AE34" s="28">
        <v>18</v>
      </c>
      <c r="AF34" s="28"/>
      <c r="AG34" s="28">
        <v>17</v>
      </c>
    </row>
    <row r="35" spans="1:33" x14ac:dyDescent="0.25">
      <c r="A35" s="11" t="s">
        <v>61</v>
      </c>
      <c r="B35" s="8" t="s">
        <v>60</v>
      </c>
      <c r="C35" s="8" t="s">
        <v>24</v>
      </c>
      <c r="D35" s="8" t="s">
        <v>35</v>
      </c>
      <c r="E35" s="9" t="s">
        <v>30</v>
      </c>
      <c r="F35" s="10" t="s">
        <v>20</v>
      </c>
      <c r="G35" s="6"/>
      <c r="H35" s="6">
        <v>3.85</v>
      </c>
      <c r="I35" s="6">
        <v>4.5</v>
      </c>
      <c r="J35" s="21">
        <f>VLOOKUP(A35,'[1]Current Pricing'!A$2:J$75,10,FALSE)</f>
        <v>4.3</v>
      </c>
      <c r="K35" s="6"/>
      <c r="L35" s="6"/>
      <c r="M35" s="6" t="e">
        <f>VLOOKUP(A35,Merrick!$A$2:$G$46,7,FALSE)</f>
        <v>#N/A</v>
      </c>
      <c r="N35" s="35"/>
      <c r="O35" s="39"/>
      <c r="P35" s="28"/>
      <c r="Q35" s="28"/>
      <c r="R35" s="28"/>
      <c r="S35" s="28">
        <v>1012.8</v>
      </c>
      <c r="T35" s="28"/>
      <c r="U35" s="28"/>
      <c r="V35" s="28"/>
      <c r="W35" s="28"/>
      <c r="X35" s="28"/>
      <c r="Y35" s="28"/>
      <c r="Z35" s="28"/>
      <c r="AA35" s="28">
        <v>16</v>
      </c>
      <c r="AB35" s="28">
        <v>22</v>
      </c>
      <c r="AC35" s="28"/>
      <c r="AD35" s="28">
        <v>18</v>
      </c>
      <c r="AE35" s="28">
        <v>18</v>
      </c>
      <c r="AF35" s="28"/>
      <c r="AG35" s="28">
        <v>17</v>
      </c>
    </row>
    <row r="36" spans="1:33" x14ac:dyDescent="0.25">
      <c r="A36" s="11" t="s">
        <v>62</v>
      </c>
      <c r="B36" s="8" t="s">
        <v>60</v>
      </c>
      <c r="C36" s="8" t="s">
        <v>63</v>
      </c>
      <c r="D36" s="8" t="s">
        <v>64</v>
      </c>
      <c r="E36" s="9" t="s">
        <v>65</v>
      </c>
      <c r="F36" s="10" t="s">
        <v>20</v>
      </c>
      <c r="G36" s="6"/>
      <c r="H36" s="6">
        <v>4.05</v>
      </c>
      <c r="I36" s="6"/>
      <c r="J36" s="6"/>
      <c r="K36" s="6"/>
      <c r="L36" s="6">
        <f>M36</f>
        <v>2.0499999999999998</v>
      </c>
      <c r="M36" s="6">
        <f>VLOOKUP(A36,Merrick!$A$2:$G$46,7,FALSE)</f>
        <v>2.0499999999999998</v>
      </c>
      <c r="N36" s="35"/>
      <c r="O36" s="39"/>
      <c r="P36" s="28"/>
      <c r="Q36" s="28"/>
      <c r="R36" s="28">
        <v>864</v>
      </c>
      <c r="S36" s="28">
        <v>1012.8</v>
      </c>
      <c r="T36" s="28"/>
      <c r="U36" s="28">
        <v>840</v>
      </c>
      <c r="V36" s="28">
        <v>840</v>
      </c>
      <c r="W36" s="28"/>
      <c r="X36" s="28">
        <v>945.12</v>
      </c>
      <c r="Y36" s="28"/>
      <c r="Z36" s="28"/>
      <c r="AA36" s="28">
        <v>16</v>
      </c>
      <c r="AB36" s="28">
        <v>22</v>
      </c>
      <c r="AC36" s="28"/>
      <c r="AD36" s="28">
        <v>18</v>
      </c>
      <c r="AE36" s="28">
        <v>18</v>
      </c>
      <c r="AF36" s="28"/>
      <c r="AG36" s="28">
        <v>17</v>
      </c>
    </row>
    <row r="37" spans="1:33" x14ac:dyDescent="0.25">
      <c r="A37" s="11" t="s">
        <v>66</v>
      </c>
      <c r="B37" s="8" t="s">
        <v>60</v>
      </c>
      <c r="C37" s="8" t="s">
        <v>63</v>
      </c>
      <c r="D37" s="8" t="s">
        <v>25</v>
      </c>
      <c r="E37" s="9" t="s">
        <v>30</v>
      </c>
      <c r="F37" s="10" t="s">
        <v>20</v>
      </c>
      <c r="G37" s="6"/>
      <c r="H37" s="6">
        <v>2.7</v>
      </c>
      <c r="I37" s="6">
        <v>3.5</v>
      </c>
      <c r="J37" s="6">
        <f>VLOOKUP(A37,'[1]Current Pricing'!A$2:J$75,10,FALSE)</f>
        <v>2.75</v>
      </c>
      <c r="K37" s="6"/>
      <c r="L37" s="6">
        <f>M37</f>
        <v>2.68</v>
      </c>
      <c r="M37" s="6">
        <f>VLOOKUP(A37,Merrick!$A$2:$G$46,7,FALSE)</f>
        <v>2.68</v>
      </c>
      <c r="N37" s="35"/>
      <c r="O37" s="39">
        <v>2.9</v>
      </c>
      <c r="P37" s="28"/>
      <c r="Q37" s="28"/>
      <c r="R37" s="28">
        <v>864</v>
      </c>
      <c r="S37" s="28">
        <v>1012.8</v>
      </c>
      <c r="T37" s="28"/>
      <c r="U37" s="28">
        <v>840</v>
      </c>
      <c r="V37" s="28">
        <v>840</v>
      </c>
      <c r="W37" s="28"/>
      <c r="X37" s="28">
        <v>945.12</v>
      </c>
      <c r="Y37" s="28"/>
      <c r="Z37" s="28"/>
      <c r="AA37" s="28">
        <v>16</v>
      </c>
      <c r="AB37" s="28">
        <v>22</v>
      </c>
      <c r="AC37" s="28"/>
      <c r="AD37" s="28">
        <v>18</v>
      </c>
      <c r="AE37" s="28">
        <v>18</v>
      </c>
      <c r="AF37" s="28"/>
      <c r="AG37" s="28">
        <v>17</v>
      </c>
    </row>
    <row r="38" spans="1:33" x14ac:dyDescent="0.25">
      <c r="A38" s="11" t="s">
        <v>67</v>
      </c>
      <c r="B38" s="8" t="s">
        <v>60</v>
      </c>
      <c r="C38" s="8" t="s">
        <v>63</v>
      </c>
      <c r="D38" s="8" t="s">
        <v>35</v>
      </c>
      <c r="E38" s="9" t="s">
        <v>26</v>
      </c>
      <c r="F38" s="10" t="s">
        <v>20</v>
      </c>
      <c r="G38" s="6"/>
      <c r="H38" s="6">
        <v>4.7</v>
      </c>
      <c r="I38" s="6">
        <v>5.0999999999999996</v>
      </c>
      <c r="J38" s="6">
        <f>VLOOKUP(A38,'[1]Current Pricing'!A$2:J$75,10,FALSE)</f>
        <v>3.62</v>
      </c>
      <c r="K38" s="6"/>
      <c r="L38" s="6">
        <f>M38</f>
        <v>3.45</v>
      </c>
      <c r="M38" s="6">
        <f>VLOOKUP(A38,Merrick!$A$2:$G$46,7,FALSE)</f>
        <v>3.45</v>
      </c>
      <c r="N38" s="35"/>
      <c r="O38" s="39">
        <v>2.9</v>
      </c>
      <c r="P38" s="28"/>
      <c r="Q38" s="28"/>
      <c r="R38" s="28">
        <v>864</v>
      </c>
      <c r="S38" s="28">
        <v>1012.8</v>
      </c>
      <c r="T38" s="28"/>
      <c r="U38" s="28">
        <v>840</v>
      </c>
      <c r="V38" s="28">
        <v>840</v>
      </c>
      <c r="W38" s="28"/>
      <c r="X38" s="28">
        <v>945.12</v>
      </c>
      <c r="Y38" s="28"/>
      <c r="Z38" s="28"/>
      <c r="AA38" s="28">
        <v>16</v>
      </c>
      <c r="AB38" s="28">
        <v>22</v>
      </c>
      <c r="AC38" s="28"/>
      <c r="AD38" s="28">
        <v>18</v>
      </c>
      <c r="AE38" s="28">
        <v>18</v>
      </c>
      <c r="AF38" s="28"/>
      <c r="AG38" s="28">
        <v>17</v>
      </c>
    </row>
    <row r="39" spans="1:33" x14ac:dyDescent="0.25">
      <c r="A39" s="11" t="s">
        <v>68</v>
      </c>
      <c r="B39" s="8" t="s">
        <v>60</v>
      </c>
      <c r="C39" s="8" t="s">
        <v>63</v>
      </c>
      <c r="D39" s="8" t="s">
        <v>35</v>
      </c>
      <c r="E39" s="9" t="s">
        <v>69</v>
      </c>
      <c r="F39" s="10" t="s">
        <v>20</v>
      </c>
      <c r="G39" s="6"/>
      <c r="H39" s="6"/>
      <c r="I39" s="6">
        <v>4.4000000000000004</v>
      </c>
      <c r="J39" s="6"/>
      <c r="K39" s="6"/>
      <c r="L39" s="6"/>
      <c r="M39" s="6" t="e">
        <f>VLOOKUP(A39,Merrick!$A$2:$G$46,7,FALSE)</f>
        <v>#N/A</v>
      </c>
      <c r="N39" s="35"/>
      <c r="O39" s="39"/>
      <c r="P39" s="28"/>
      <c r="Q39" s="28"/>
      <c r="R39" s="28">
        <v>864</v>
      </c>
      <c r="S39" s="28">
        <v>1012.8</v>
      </c>
      <c r="T39" s="28"/>
      <c r="U39" s="28"/>
      <c r="V39" s="28"/>
      <c r="W39" s="28"/>
      <c r="X39" s="28">
        <v>945.12</v>
      </c>
      <c r="Y39" s="28"/>
      <c r="Z39" s="28"/>
      <c r="AA39" s="28">
        <v>16</v>
      </c>
      <c r="AB39" s="28">
        <v>22</v>
      </c>
      <c r="AC39" s="28"/>
      <c r="AD39" s="28">
        <v>18</v>
      </c>
      <c r="AE39" s="28">
        <v>18</v>
      </c>
      <c r="AF39" s="28"/>
      <c r="AG39" s="28">
        <v>17</v>
      </c>
    </row>
    <row r="40" spans="1:33" x14ac:dyDescent="0.25">
      <c r="A40" s="11" t="s">
        <v>70</v>
      </c>
      <c r="B40" s="8" t="s">
        <v>60</v>
      </c>
      <c r="C40" s="8" t="s">
        <v>71</v>
      </c>
      <c r="D40" s="8" t="s">
        <v>25</v>
      </c>
      <c r="E40" s="9" t="s">
        <v>19</v>
      </c>
      <c r="F40" s="10" t="s">
        <v>72</v>
      </c>
      <c r="G40" s="6"/>
      <c r="H40" s="6"/>
      <c r="I40" s="6">
        <v>3.4</v>
      </c>
      <c r="J40" s="6"/>
      <c r="K40" s="6"/>
      <c r="L40" s="6"/>
      <c r="M40" s="6" t="e">
        <f>VLOOKUP(A40,Merrick!$A$2:$G$46,7,FALSE)</f>
        <v>#N/A</v>
      </c>
      <c r="N40" s="35"/>
      <c r="O40" s="39"/>
      <c r="P40" s="28"/>
      <c r="Q40" s="28"/>
      <c r="R40" s="28">
        <v>840</v>
      </c>
      <c r="S40" s="28">
        <v>1012.8</v>
      </c>
      <c r="T40" s="28"/>
      <c r="U40" s="28"/>
      <c r="V40" s="28"/>
      <c r="W40" s="28"/>
      <c r="X40" s="28"/>
      <c r="Y40" s="28"/>
      <c r="Z40" s="28"/>
      <c r="AA40" s="28">
        <v>16</v>
      </c>
      <c r="AB40" s="28">
        <v>22</v>
      </c>
      <c r="AC40" s="28"/>
      <c r="AD40" s="28">
        <v>18</v>
      </c>
      <c r="AE40" s="28">
        <v>18</v>
      </c>
      <c r="AF40" s="28"/>
      <c r="AG40" s="28">
        <v>17</v>
      </c>
    </row>
    <row r="41" spans="1:33" x14ac:dyDescent="0.25">
      <c r="A41" s="11" t="s">
        <v>73</v>
      </c>
      <c r="B41" s="8" t="s">
        <v>60</v>
      </c>
      <c r="C41" s="8" t="s">
        <v>71</v>
      </c>
      <c r="D41" s="8" t="s">
        <v>25</v>
      </c>
      <c r="E41" s="9" t="s">
        <v>19</v>
      </c>
      <c r="F41" s="10" t="s">
        <v>74</v>
      </c>
      <c r="G41" s="6"/>
      <c r="H41" s="6"/>
      <c r="I41" s="6">
        <v>3.4</v>
      </c>
      <c r="J41" s="6"/>
      <c r="K41" s="6"/>
      <c r="L41" s="6"/>
      <c r="M41" s="6" t="e">
        <f>VLOOKUP(A41,Merrick!$A$2:$G$46,7,FALSE)</f>
        <v>#N/A</v>
      </c>
      <c r="N41" s="35"/>
      <c r="O41" s="39"/>
      <c r="P41" s="28"/>
      <c r="Q41" s="28"/>
      <c r="R41" s="28">
        <v>840</v>
      </c>
      <c r="S41" s="28">
        <v>1012.8</v>
      </c>
      <c r="T41" s="28"/>
      <c r="U41" s="28"/>
      <c r="V41" s="28"/>
      <c r="W41" s="28"/>
      <c r="X41" s="28"/>
      <c r="Y41" s="28"/>
      <c r="Z41" s="28"/>
      <c r="AA41" s="28">
        <v>16</v>
      </c>
      <c r="AB41" s="28">
        <v>22</v>
      </c>
      <c r="AC41" s="28"/>
      <c r="AD41" s="28">
        <v>18</v>
      </c>
      <c r="AE41" s="28">
        <v>18</v>
      </c>
      <c r="AF41" s="28"/>
      <c r="AG41" s="28">
        <v>17</v>
      </c>
    </row>
    <row r="42" spans="1:33" x14ac:dyDescent="0.25">
      <c r="A42" s="11" t="s">
        <v>75</v>
      </c>
      <c r="B42" s="8" t="s">
        <v>60</v>
      </c>
      <c r="C42" s="8" t="s">
        <v>71</v>
      </c>
      <c r="D42" s="8" t="s">
        <v>35</v>
      </c>
      <c r="E42" s="9" t="s">
        <v>19</v>
      </c>
      <c r="F42" s="10" t="s">
        <v>72</v>
      </c>
      <c r="G42" s="6"/>
      <c r="H42" s="6"/>
      <c r="I42" s="6">
        <v>4.45</v>
      </c>
      <c r="J42" s="6"/>
      <c r="K42" s="6"/>
      <c r="L42" s="6"/>
      <c r="M42" s="6" t="e">
        <f>VLOOKUP(A42,Merrick!$A$2:$G$46,7,FALSE)</f>
        <v>#N/A</v>
      </c>
      <c r="N42" s="35"/>
      <c r="O42" s="39"/>
      <c r="P42" s="28"/>
      <c r="Q42" s="28"/>
      <c r="R42" s="28">
        <v>840</v>
      </c>
      <c r="S42" s="28">
        <v>1012.8</v>
      </c>
      <c r="T42" s="28"/>
      <c r="U42" s="28"/>
      <c r="V42" s="28"/>
      <c r="W42" s="28"/>
      <c r="X42" s="28"/>
      <c r="Y42" s="28"/>
      <c r="Z42" s="28"/>
      <c r="AA42" s="28">
        <v>16</v>
      </c>
      <c r="AB42" s="28">
        <v>22</v>
      </c>
      <c r="AC42" s="28"/>
      <c r="AD42" s="28">
        <v>18</v>
      </c>
      <c r="AE42" s="28">
        <v>18</v>
      </c>
      <c r="AF42" s="28"/>
      <c r="AG42" s="28">
        <v>17</v>
      </c>
    </row>
    <row r="43" spans="1:33" x14ac:dyDescent="0.25">
      <c r="A43" s="11" t="s">
        <v>76</v>
      </c>
      <c r="B43" s="8" t="s">
        <v>60</v>
      </c>
      <c r="C43" s="8" t="s">
        <v>71</v>
      </c>
      <c r="D43" s="8" t="s">
        <v>35</v>
      </c>
      <c r="E43" s="9" t="s">
        <v>30</v>
      </c>
      <c r="F43" s="10" t="s">
        <v>74</v>
      </c>
      <c r="G43" s="6"/>
      <c r="H43" s="6"/>
      <c r="I43" s="6">
        <v>4.45</v>
      </c>
      <c r="J43" s="6"/>
      <c r="K43" s="6"/>
      <c r="L43" s="6"/>
      <c r="M43" s="6" t="e">
        <f>VLOOKUP(A43,Merrick!$A$2:$G$46,7,FALSE)</f>
        <v>#N/A</v>
      </c>
      <c r="N43" s="35"/>
      <c r="O43" s="39"/>
      <c r="P43" s="28"/>
      <c r="Q43" s="28"/>
      <c r="R43" s="28">
        <v>840</v>
      </c>
      <c r="S43" s="28">
        <v>1012.8</v>
      </c>
      <c r="T43" s="28"/>
      <c r="U43" s="28"/>
      <c r="V43" s="28"/>
      <c r="W43" s="28"/>
      <c r="X43" s="28"/>
      <c r="Y43" s="28"/>
      <c r="Z43" s="28"/>
      <c r="AA43" s="28">
        <v>16</v>
      </c>
      <c r="AB43" s="28">
        <v>22</v>
      </c>
      <c r="AC43" s="28"/>
      <c r="AD43" s="28">
        <v>18</v>
      </c>
      <c r="AE43" s="28">
        <v>18</v>
      </c>
      <c r="AF43" s="28"/>
      <c r="AG43" s="28">
        <v>17</v>
      </c>
    </row>
    <row r="44" spans="1:33" x14ac:dyDescent="0.25">
      <c r="A44" s="11" t="s">
        <v>77</v>
      </c>
      <c r="B44" s="8" t="s">
        <v>60</v>
      </c>
      <c r="C44" s="8" t="s">
        <v>78</v>
      </c>
      <c r="D44" s="8" t="s">
        <v>79</v>
      </c>
      <c r="E44" s="9" t="s">
        <v>19</v>
      </c>
      <c r="F44" s="10" t="s">
        <v>20</v>
      </c>
      <c r="G44" s="6"/>
      <c r="H44" s="6"/>
      <c r="I44" s="6"/>
      <c r="J44" s="6"/>
      <c r="K44" s="6"/>
      <c r="L44" s="6"/>
      <c r="M44" s="6" t="e">
        <f>VLOOKUP(A44,Merrick!$A$2:$G$46,7,FALSE)</f>
        <v>#N/A</v>
      </c>
      <c r="N44" s="35"/>
      <c r="O44" s="39"/>
      <c r="P44" s="28"/>
      <c r="Q44" s="28"/>
      <c r="R44" s="28"/>
      <c r="S44" s="28">
        <v>1012.8</v>
      </c>
      <c r="T44" s="28"/>
      <c r="U44" s="28"/>
      <c r="V44" s="28"/>
      <c r="W44" s="28"/>
      <c r="X44" s="28">
        <v>780</v>
      </c>
      <c r="Y44" s="28"/>
      <c r="Z44" s="28"/>
      <c r="AA44" s="28">
        <v>16</v>
      </c>
      <c r="AB44" s="28">
        <v>22</v>
      </c>
      <c r="AC44" s="28"/>
      <c r="AD44" s="28">
        <v>18</v>
      </c>
      <c r="AE44" s="28">
        <v>18</v>
      </c>
      <c r="AF44" s="28"/>
      <c r="AG44" s="28">
        <v>17</v>
      </c>
    </row>
    <row r="45" spans="1:33" x14ac:dyDescent="0.25">
      <c r="A45" s="11" t="s">
        <v>80</v>
      </c>
      <c r="B45" s="8" t="s">
        <v>60</v>
      </c>
      <c r="C45" s="8" t="s">
        <v>78</v>
      </c>
      <c r="D45" s="8" t="s">
        <v>64</v>
      </c>
      <c r="E45" s="9" t="s">
        <v>65</v>
      </c>
      <c r="F45" s="10" t="s">
        <v>20</v>
      </c>
      <c r="G45" s="6"/>
      <c r="H45" s="6">
        <v>3.55</v>
      </c>
      <c r="I45" s="6"/>
      <c r="J45" s="6"/>
      <c r="K45" s="6"/>
      <c r="L45" s="6">
        <v>4.25</v>
      </c>
      <c r="M45" s="6">
        <f>VLOOKUP(A45,Merrick!$A$2:$G$46,7,FALSE)</f>
        <v>4.25</v>
      </c>
      <c r="N45" s="35"/>
      <c r="O45" s="39"/>
      <c r="P45" s="28"/>
      <c r="Q45" s="28"/>
      <c r="R45" s="28">
        <v>858</v>
      </c>
      <c r="S45" s="28">
        <v>1012.8</v>
      </c>
      <c r="T45" s="28"/>
      <c r="U45" s="28">
        <v>828</v>
      </c>
      <c r="V45" s="28">
        <v>828</v>
      </c>
      <c r="W45" s="28"/>
      <c r="X45" s="28">
        <v>780</v>
      </c>
      <c r="Y45" s="28"/>
      <c r="Z45" s="28"/>
      <c r="AA45" s="28">
        <v>16</v>
      </c>
      <c r="AB45" s="28">
        <v>22</v>
      </c>
      <c r="AC45" s="28"/>
      <c r="AD45" s="28">
        <v>18</v>
      </c>
      <c r="AE45" s="28">
        <v>18</v>
      </c>
      <c r="AF45" s="28"/>
      <c r="AG45" s="28">
        <v>17</v>
      </c>
    </row>
    <row r="46" spans="1:33" x14ac:dyDescent="0.25">
      <c r="A46" s="11" t="s">
        <v>81</v>
      </c>
      <c r="B46" s="8" t="s">
        <v>60</v>
      </c>
      <c r="C46" s="8" t="s">
        <v>78</v>
      </c>
      <c r="D46" s="8" t="s">
        <v>25</v>
      </c>
      <c r="E46" s="9" t="s">
        <v>69</v>
      </c>
      <c r="F46" s="10" t="s">
        <v>20</v>
      </c>
      <c r="G46" s="6"/>
      <c r="H46" s="6">
        <v>2.9</v>
      </c>
      <c r="I46" s="6">
        <v>3.4</v>
      </c>
      <c r="J46" s="6">
        <f>VLOOKUP(A46,'[1]Current Pricing'!A$2:J$75,10,FALSE)</f>
        <v>2.54</v>
      </c>
      <c r="K46" s="6"/>
      <c r="L46" s="6">
        <f>M46</f>
        <v>2.4500000000000002</v>
      </c>
      <c r="M46" s="6">
        <f>VLOOKUP(A46,Merrick!$A$2:$G$46,7,FALSE)</f>
        <v>2.4500000000000002</v>
      </c>
      <c r="N46" s="35"/>
      <c r="O46" s="39"/>
      <c r="P46" s="28"/>
      <c r="Q46" s="28"/>
      <c r="R46" s="28">
        <v>858</v>
      </c>
      <c r="S46" s="28">
        <v>1012.8</v>
      </c>
      <c r="T46" s="28"/>
      <c r="U46" s="28">
        <v>828</v>
      </c>
      <c r="V46" s="28">
        <v>828</v>
      </c>
      <c r="W46" s="28"/>
      <c r="X46" s="28">
        <v>780</v>
      </c>
      <c r="Y46" s="28"/>
      <c r="Z46" s="28"/>
      <c r="AA46" s="28">
        <v>16</v>
      </c>
      <c r="AB46" s="28">
        <v>22</v>
      </c>
      <c r="AC46" s="28"/>
      <c r="AD46" s="28">
        <v>18</v>
      </c>
      <c r="AE46" s="28">
        <v>18</v>
      </c>
      <c r="AF46" s="28"/>
      <c r="AG46" s="28">
        <v>17</v>
      </c>
    </row>
    <row r="47" spans="1:33" x14ac:dyDescent="0.25">
      <c r="A47" s="11" t="s">
        <v>82</v>
      </c>
      <c r="B47" s="8" t="s">
        <v>60</v>
      </c>
      <c r="C47" s="8" t="s">
        <v>78</v>
      </c>
      <c r="D47" s="8" t="s">
        <v>35</v>
      </c>
      <c r="E47" s="9" t="s">
        <v>26</v>
      </c>
      <c r="F47" s="10" t="s">
        <v>20</v>
      </c>
      <c r="G47" s="6"/>
      <c r="H47" s="6"/>
      <c r="I47" s="6">
        <v>5.45</v>
      </c>
      <c r="J47" s="6"/>
      <c r="K47" s="6"/>
      <c r="L47" s="6"/>
      <c r="M47" s="6" t="e">
        <f>VLOOKUP(A47,Merrick!$A$2:$G$46,7,FALSE)</f>
        <v>#N/A</v>
      </c>
      <c r="N47" s="35"/>
      <c r="O47" s="39"/>
      <c r="P47" s="28"/>
      <c r="Q47" s="28"/>
      <c r="R47" s="28">
        <v>858</v>
      </c>
      <c r="S47" s="28">
        <v>1012.8</v>
      </c>
      <c r="T47" s="28"/>
      <c r="U47" s="28"/>
      <c r="V47" s="28"/>
      <c r="W47" s="28"/>
      <c r="X47" s="28">
        <v>780</v>
      </c>
      <c r="Y47" s="28"/>
      <c r="Z47" s="28"/>
      <c r="AA47" s="28">
        <v>16</v>
      </c>
      <c r="AB47" s="28">
        <v>22</v>
      </c>
      <c r="AC47" s="28"/>
      <c r="AD47" s="28">
        <v>18</v>
      </c>
      <c r="AE47" s="28">
        <v>18</v>
      </c>
      <c r="AF47" s="28"/>
      <c r="AG47" s="28">
        <v>17</v>
      </c>
    </row>
    <row r="48" spans="1:33" x14ac:dyDescent="0.25">
      <c r="A48" s="11" t="s">
        <v>83</v>
      </c>
      <c r="B48" s="8" t="s">
        <v>60</v>
      </c>
      <c r="C48" s="8" t="s">
        <v>78</v>
      </c>
      <c r="D48" s="8" t="s">
        <v>35</v>
      </c>
      <c r="E48" s="9" t="s">
        <v>69</v>
      </c>
      <c r="F48" s="10" t="s">
        <v>20</v>
      </c>
      <c r="G48" s="6"/>
      <c r="H48" s="6">
        <v>3.3</v>
      </c>
      <c r="I48" s="6">
        <v>4.6500000000000004</v>
      </c>
      <c r="J48" s="6">
        <f>VLOOKUP(A48,'[1]Current Pricing'!A$2:J$75,10,FALSE)</f>
        <v>3.81</v>
      </c>
      <c r="K48" s="6"/>
      <c r="L48" s="6">
        <v>2.9</v>
      </c>
      <c r="M48" s="6" t="e">
        <f>VLOOKUP(A48,Merrick!$A$2:$G$46,7,FALSE)</f>
        <v>#N/A</v>
      </c>
      <c r="N48" s="35"/>
      <c r="O48" s="39"/>
      <c r="P48" s="28"/>
      <c r="Q48" s="28"/>
      <c r="R48" s="28">
        <v>858</v>
      </c>
      <c r="S48" s="28">
        <v>1012.8</v>
      </c>
      <c r="T48" s="28"/>
      <c r="U48" s="28">
        <v>828</v>
      </c>
      <c r="V48" s="28">
        <v>828</v>
      </c>
      <c r="W48" s="28"/>
      <c r="X48" s="28">
        <v>780</v>
      </c>
      <c r="Y48" s="28"/>
      <c r="Z48" s="28"/>
      <c r="AA48" s="28">
        <v>16</v>
      </c>
      <c r="AB48" s="28">
        <v>22</v>
      </c>
      <c r="AC48" s="28"/>
      <c r="AD48" s="28">
        <v>18</v>
      </c>
      <c r="AE48" s="28">
        <v>18</v>
      </c>
      <c r="AF48" s="28"/>
      <c r="AG48" s="28">
        <v>17</v>
      </c>
    </row>
    <row r="49" spans="1:33" x14ac:dyDescent="0.25">
      <c r="A49" s="11" t="s">
        <v>84</v>
      </c>
      <c r="B49" s="8" t="s">
        <v>60</v>
      </c>
      <c r="C49" s="8" t="s">
        <v>85</v>
      </c>
      <c r="D49" s="8" t="s">
        <v>25</v>
      </c>
      <c r="E49" s="9" t="s">
        <v>19</v>
      </c>
      <c r="F49" s="10" t="s">
        <v>72</v>
      </c>
      <c r="G49" s="6"/>
      <c r="H49" s="6"/>
      <c r="I49" s="6">
        <v>3.45</v>
      </c>
      <c r="J49" s="6"/>
      <c r="K49" s="6"/>
      <c r="L49" s="6"/>
      <c r="M49" s="6" t="e">
        <f>VLOOKUP(A49,Merrick!$A$2:$G$46,7,FALSE)</f>
        <v>#N/A</v>
      </c>
      <c r="N49" s="35"/>
      <c r="O49" s="39"/>
      <c r="P49" s="28"/>
      <c r="Q49" s="28"/>
      <c r="R49" s="28">
        <v>864</v>
      </c>
      <c r="S49" s="28">
        <v>1012.8</v>
      </c>
      <c r="T49" s="28"/>
      <c r="U49" s="28"/>
      <c r="V49" s="28"/>
      <c r="W49" s="28"/>
      <c r="X49" s="28"/>
      <c r="Y49" s="28"/>
      <c r="Z49" s="28"/>
      <c r="AA49" s="28">
        <v>16</v>
      </c>
      <c r="AB49" s="28">
        <v>22</v>
      </c>
      <c r="AC49" s="28"/>
      <c r="AD49" s="28">
        <v>18</v>
      </c>
      <c r="AE49" s="28">
        <v>18</v>
      </c>
      <c r="AF49" s="28"/>
      <c r="AG49" s="28">
        <v>17</v>
      </c>
    </row>
    <row r="50" spans="1:33" x14ac:dyDescent="0.25">
      <c r="A50" s="11" t="s">
        <v>86</v>
      </c>
      <c r="B50" s="8" t="s">
        <v>60</v>
      </c>
      <c r="C50" s="8" t="s">
        <v>85</v>
      </c>
      <c r="D50" s="8" t="s">
        <v>25</v>
      </c>
      <c r="E50" s="9" t="s">
        <v>19</v>
      </c>
      <c r="F50" s="10" t="s">
        <v>74</v>
      </c>
      <c r="G50" s="6"/>
      <c r="H50" s="6"/>
      <c r="I50" s="6">
        <v>3.45</v>
      </c>
      <c r="J50" s="6"/>
      <c r="K50" s="6"/>
      <c r="L50" s="6">
        <v>2.4500000000000002</v>
      </c>
      <c r="M50" s="6">
        <f>VLOOKUP(A50,Merrick!$A$2:$G$46,7,FALSE)</f>
        <v>2.4500000000000002</v>
      </c>
      <c r="N50" s="35"/>
      <c r="O50" s="39"/>
      <c r="P50" s="28"/>
      <c r="Q50" s="28"/>
      <c r="R50" s="28">
        <v>864</v>
      </c>
      <c r="S50" s="28">
        <v>1012.8</v>
      </c>
      <c r="T50" s="28"/>
      <c r="U50" s="28"/>
      <c r="V50" s="28"/>
      <c r="W50" s="28"/>
      <c r="X50" s="28"/>
      <c r="Y50" s="28"/>
      <c r="Z50" s="28"/>
      <c r="AA50" s="28">
        <v>16</v>
      </c>
      <c r="AB50" s="28">
        <v>22</v>
      </c>
      <c r="AC50" s="28"/>
      <c r="AD50" s="28">
        <v>18</v>
      </c>
      <c r="AE50" s="28">
        <v>18</v>
      </c>
      <c r="AF50" s="28"/>
      <c r="AG50" s="28">
        <v>17</v>
      </c>
    </row>
    <row r="51" spans="1:33" x14ac:dyDescent="0.25">
      <c r="A51" s="11" t="s">
        <v>87</v>
      </c>
      <c r="B51" s="8" t="s">
        <v>60</v>
      </c>
      <c r="C51" s="8" t="s">
        <v>85</v>
      </c>
      <c r="D51" s="8" t="s">
        <v>35</v>
      </c>
      <c r="E51" s="9" t="s">
        <v>19</v>
      </c>
      <c r="F51" s="10" t="s">
        <v>72</v>
      </c>
      <c r="G51" s="6"/>
      <c r="H51" s="6"/>
      <c r="I51" s="6">
        <v>4.7</v>
      </c>
      <c r="J51" s="6"/>
      <c r="K51" s="6"/>
      <c r="L51" s="6"/>
      <c r="M51" s="6" t="e">
        <f>VLOOKUP(A51,Merrick!$A$2:$G$46,7,FALSE)</f>
        <v>#N/A</v>
      </c>
      <c r="N51" s="35"/>
      <c r="O51" s="39"/>
      <c r="P51" s="28"/>
      <c r="Q51" s="28"/>
      <c r="R51" s="28">
        <v>864</v>
      </c>
      <c r="S51" s="28">
        <v>1012.8</v>
      </c>
      <c r="T51" s="28"/>
      <c r="U51" s="28"/>
      <c r="V51" s="28"/>
      <c r="W51" s="28"/>
      <c r="X51" s="28"/>
      <c r="Y51" s="28"/>
      <c r="Z51" s="28"/>
      <c r="AA51" s="28">
        <v>16</v>
      </c>
      <c r="AB51" s="28">
        <v>22</v>
      </c>
      <c r="AC51" s="28"/>
      <c r="AD51" s="28">
        <v>18</v>
      </c>
      <c r="AE51" s="28">
        <v>18</v>
      </c>
      <c r="AF51" s="28"/>
      <c r="AG51" s="28">
        <v>17</v>
      </c>
    </row>
    <row r="52" spans="1:33" x14ac:dyDescent="0.25">
      <c r="A52" s="11" t="s">
        <v>88</v>
      </c>
      <c r="B52" s="8" t="s">
        <v>60</v>
      </c>
      <c r="C52" s="8" t="s">
        <v>85</v>
      </c>
      <c r="D52" s="8" t="s">
        <v>35</v>
      </c>
      <c r="E52" s="9" t="s">
        <v>19</v>
      </c>
      <c r="F52" s="10" t="s">
        <v>74</v>
      </c>
      <c r="G52" s="6"/>
      <c r="H52" s="6"/>
      <c r="I52" s="6">
        <v>4.7</v>
      </c>
      <c r="J52" s="6"/>
      <c r="K52" s="6"/>
      <c r="L52" s="6">
        <v>4.25</v>
      </c>
      <c r="M52" s="6">
        <f>VLOOKUP(A52,Merrick!$A$2:$G$46,7,FALSE)</f>
        <v>4.25</v>
      </c>
      <c r="N52" s="35"/>
      <c r="O52" s="39"/>
      <c r="P52" s="28"/>
      <c r="Q52" s="28"/>
      <c r="R52" s="28">
        <v>864</v>
      </c>
      <c r="S52" s="28">
        <v>1012.8</v>
      </c>
      <c r="T52" s="28"/>
      <c r="U52" s="28"/>
      <c r="V52" s="28"/>
      <c r="W52" s="28"/>
      <c r="X52" s="28"/>
      <c r="Y52" s="28"/>
      <c r="Z52" s="28"/>
      <c r="AA52" s="28">
        <v>16</v>
      </c>
      <c r="AB52" s="28">
        <v>22</v>
      </c>
      <c r="AC52" s="28"/>
      <c r="AD52" s="28">
        <v>18</v>
      </c>
      <c r="AE52" s="28">
        <v>18</v>
      </c>
      <c r="AF52" s="28"/>
      <c r="AG52" s="28">
        <v>17</v>
      </c>
    </row>
    <row r="53" spans="1:33" x14ac:dyDescent="0.25">
      <c r="A53" s="11" t="s">
        <v>89</v>
      </c>
      <c r="B53" s="8" t="s">
        <v>60</v>
      </c>
      <c r="C53" s="8" t="s">
        <v>90</v>
      </c>
      <c r="D53" s="8" t="s">
        <v>64</v>
      </c>
      <c r="E53" s="9" t="s">
        <v>91</v>
      </c>
      <c r="F53" s="10" t="s">
        <v>74</v>
      </c>
      <c r="G53" s="6"/>
      <c r="H53" s="6"/>
      <c r="I53" s="6"/>
      <c r="J53" s="6"/>
      <c r="K53" s="6"/>
      <c r="L53" s="6"/>
      <c r="M53" s="6" t="e">
        <f>VLOOKUP(A53,Merrick!$A$2:$G$46,7,FALSE)</f>
        <v>#N/A</v>
      </c>
      <c r="N53" s="35"/>
      <c r="O53" s="39"/>
      <c r="P53" s="28"/>
      <c r="Q53" s="28"/>
      <c r="R53" s="28">
        <v>840</v>
      </c>
      <c r="S53" s="28">
        <v>1012.8</v>
      </c>
      <c r="T53" s="28"/>
      <c r="U53" s="28"/>
      <c r="V53" s="28"/>
      <c r="W53" s="28"/>
      <c r="X53" s="28"/>
      <c r="Y53" s="28"/>
      <c r="Z53" s="28"/>
      <c r="AA53" s="28">
        <v>16</v>
      </c>
      <c r="AB53" s="28">
        <v>22</v>
      </c>
      <c r="AC53" s="28"/>
      <c r="AD53" s="28">
        <v>18</v>
      </c>
      <c r="AE53" s="28">
        <v>18</v>
      </c>
      <c r="AF53" s="28"/>
      <c r="AG53" s="28">
        <v>17</v>
      </c>
    </row>
    <row r="54" spans="1:33" x14ac:dyDescent="0.25">
      <c r="A54" s="11" t="s">
        <v>92</v>
      </c>
      <c r="B54" s="8" t="s">
        <v>60</v>
      </c>
      <c r="C54" s="8" t="s">
        <v>90</v>
      </c>
      <c r="D54" s="8" t="s">
        <v>25</v>
      </c>
      <c r="E54" s="9" t="s">
        <v>19</v>
      </c>
      <c r="F54" s="10" t="s">
        <v>72</v>
      </c>
      <c r="G54" s="6"/>
      <c r="H54" s="6"/>
      <c r="I54" s="6">
        <v>3.45</v>
      </c>
      <c r="J54" s="6"/>
      <c r="K54" s="6"/>
      <c r="L54" s="6"/>
      <c r="M54" s="6" t="e">
        <f>VLOOKUP(A54,Merrick!$A$2:$G$46,7,FALSE)</f>
        <v>#N/A</v>
      </c>
      <c r="N54" s="35"/>
      <c r="O54" s="39"/>
      <c r="P54" s="28"/>
      <c r="Q54" s="28"/>
      <c r="R54" s="28">
        <v>840</v>
      </c>
      <c r="S54" s="28">
        <v>1012.8</v>
      </c>
      <c r="T54" s="28"/>
      <c r="U54" s="28"/>
      <c r="V54" s="28"/>
      <c r="W54" s="28"/>
      <c r="X54" s="28"/>
      <c r="Y54" s="28"/>
      <c r="Z54" s="28"/>
      <c r="AA54" s="28">
        <v>16</v>
      </c>
      <c r="AB54" s="28">
        <v>22</v>
      </c>
      <c r="AC54" s="28"/>
      <c r="AD54" s="28">
        <v>18</v>
      </c>
      <c r="AE54" s="28">
        <v>18</v>
      </c>
      <c r="AF54" s="28"/>
      <c r="AG54" s="28">
        <v>17</v>
      </c>
    </row>
    <row r="55" spans="1:33" x14ac:dyDescent="0.25">
      <c r="A55" s="19" t="s">
        <v>93</v>
      </c>
      <c r="B55" s="8" t="s">
        <v>60</v>
      </c>
      <c r="C55" s="8" t="s">
        <v>90</v>
      </c>
      <c r="D55" s="8" t="s">
        <v>25</v>
      </c>
      <c r="E55" s="9" t="s">
        <v>19</v>
      </c>
      <c r="F55" s="10" t="s">
        <v>74</v>
      </c>
      <c r="G55" s="6"/>
      <c r="H55" s="6"/>
      <c r="I55" s="6"/>
      <c r="J55" s="6"/>
      <c r="K55" s="6"/>
      <c r="L55" s="6">
        <v>2.65</v>
      </c>
      <c r="M55" s="6">
        <f>VLOOKUP(A55,Merrick!$A$2:$G$46,7,FALSE)</f>
        <v>2.65</v>
      </c>
      <c r="N55" s="35"/>
      <c r="O55" s="39"/>
      <c r="P55" s="28"/>
      <c r="Q55" s="28"/>
      <c r="R55" s="28">
        <v>840</v>
      </c>
      <c r="S55" s="28">
        <v>1012.8</v>
      </c>
      <c r="T55" s="28"/>
      <c r="U55" s="28"/>
      <c r="V55" s="28"/>
      <c r="W55" s="28"/>
      <c r="X55" s="28"/>
      <c r="Y55" s="28"/>
      <c r="Z55" s="28"/>
      <c r="AA55" s="28">
        <v>16</v>
      </c>
      <c r="AB55" s="28">
        <v>22</v>
      </c>
      <c r="AC55" s="28"/>
      <c r="AD55" s="28">
        <v>18</v>
      </c>
      <c r="AE55" s="28">
        <v>18</v>
      </c>
      <c r="AF55" s="28"/>
      <c r="AG55" s="28">
        <v>17</v>
      </c>
    </row>
    <row r="56" spans="1:33" x14ac:dyDescent="0.25">
      <c r="A56" s="19" t="s">
        <v>94</v>
      </c>
      <c r="B56" s="8" t="s">
        <v>60</v>
      </c>
      <c r="C56" s="8" t="s">
        <v>90</v>
      </c>
      <c r="D56" s="8" t="s">
        <v>25</v>
      </c>
      <c r="E56" s="9" t="s">
        <v>19</v>
      </c>
      <c r="F56" s="10" t="s">
        <v>74</v>
      </c>
      <c r="G56" s="6"/>
      <c r="H56" s="6"/>
      <c r="I56" s="6"/>
      <c r="J56" s="6"/>
      <c r="K56" s="6"/>
      <c r="L56" s="6"/>
      <c r="M56" s="6" t="e">
        <f>VLOOKUP(A56,Merrick!$A$2:$G$46,7,FALSE)</f>
        <v>#N/A</v>
      </c>
      <c r="N56" s="35"/>
      <c r="O56" s="39"/>
      <c r="P56" s="28"/>
      <c r="Q56" s="28"/>
      <c r="R56" s="28">
        <v>840</v>
      </c>
      <c r="S56" s="28">
        <v>1012.8</v>
      </c>
      <c r="T56" s="28"/>
      <c r="U56" s="28"/>
      <c r="V56" s="28"/>
      <c r="W56" s="28"/>
      <c r="X56" s="28"/>
      <c r="Y56" s="28"/>
      <c r="Z56" s="28"/>
      <c r="AA56" s="28">
        <v>16</v>
      </c>
      <c r="AB56" s="28">
        <v>22</v>
      </c>
      <c r="AC56" s="28"/>
      <c r="AD56" s="28">
        <v>18</v>
      </c>
      <c r="AE56" s="28">
        <v>18</v>
      </c>
      <c r="AF56" s="28"/>
      <c r="AG56" s="28">
        <v>17</v>
      </c>
    </row>
    <row r="57" spans="1:33" ht="30.75" customHeight="1" x14ac:dyDescent="0.25">
      <c r="A57" s="20" t="s">
        <v>95</v>
      </c>
      <c r="B57" s="8" t="s">
        <v>60</v>
      </c>
      <c r="C57" s="8" t="s">
        <v>90</v>
      </c>
      <c r="D57" s="8" t="s">
        <v>25</v>
      </c>
      <c r="E57" s="9" t="s">
        <v>19</v>
      </c>
      <c r="F57" s="10" t="s">
        <v>74</v>
      </c>
      <c r="G57" s="6"/>
      <c r="H57" s="6"/>
      <c r="I57" s="6"/>
      <c r="J57" s="6"/>
      <c r="K57" s="6"/>
      <c r="L57" s="6">
        <v>2.65</v>
      </c>
      <c r="M57" s="6">
        <v>2.65</v>
      </c>
      <c r="N57" s="35"/>
      <c r="O57" s="39"/>
      <c r="P57" s="28"/>
      <c r="Q57" s="28"/>
      <c r="R57" s="28">
        <v>840</v>
      </c>
      <c r="S57" s="28">
        <v>1012.8</v>
      </c>
      <c r="T57" s="28"/>
      <c r="U57" s="28"/>
      <c r="V57" s="28"/>
      <c r="W57" s="28"/>
      <c r="X57" s="28"/>
      <c r="Y57" s="28"/>
      <c r="Z57" s="28"/>
      <c r="AA57" s="28">
        <v>16</v>
      </c>
      <c r="AB57" s="28">
        <v>22</v>
      </c>
      <c r="AC57" s="28"/>
      <c r="AD57" s="28">
        <v>18</v>
      </c>
      <c r="AE57" s="28">
        <v>18</v>
      </c>
      <c r="AF57" s="28"/>
      <c r="AG57" s="28">
        <v>17</v>
      </c>
    </row>
    <row r="58" spans="1:33" x14ac:dyDescent="0.25">
      <c r="A58" s="11" t="s">
        <v>96</v>
      </c>
      <c r="B58" s="8" t="s">
        <v>60</v>
      </c>
      <c r="C58" s="8" t="s">
        <v>90</v>
      </c>
      <c r="D58" s="8" t="s">
        <v>97</v>
      </c>
      <c r="E58" s="9" t="s">
        <v>69</v>
      </c>
      <c r="F58" s="10" t="s">
        <v>74</v>
      </c>
      <c r="G58" s="6"/>
      <c r="H58" s="6"/>
      <c r="I58" s="6">
        <v>7.65</v>
      </c>
      <c r="J58" s="6"/>
      <c r="K58" s="6"/>
      <c r="L58" s="6"/>
      <c r="M58" s="6" t="e">
        <f>VLOOKUP(A58,Merrick!$A$2:$G$46,7,FALSE)</f>
        <v>#N/A</v>
      </c>
      <c r="N58" s="35"/>
      <c r="O58" s="39"/>
      <c r="P58" s="28"/>
      <c r="Q58" s="28"/>
      <c r="R58" s="28">
        <v>840</v>
      </c>
      <c r="S58" s="28">
        <v>1012.8</v>
      </c>
      <c r="T58" s="28"/>
      <c r="U58" s="28"/>
      <c r="V58" s="28"/>
      <c r="W58" s="28"/>
      <c r="X58" s="28"/>
      <c r="Y58" s="28"/>
      <c r="Z58" s="28"/>
      <c r="AA58" s="28">
        <v>16</v>
      </c>
      <c r="AB58" s="28">
        <v>22</v>
      </c>
      <c r="AC58" s="28"/>
      <c r="AD58" s="28">
        <v>18</v>
      </c>
      <c r="AE58" s="28">
        <v>18</v>
      </c>
      <c r="AF58" s="28"/>
      <c r="AG58" s="28">
        <v>17</v>
      </c>
    </row>
    <row r="59" spans="1:33" x14ac:dyDescent="0.25">
      <c r="A59" s="11" t="s">
        <v>183</v>
      </c>
      <c r="B59" s="8" t="s">
        <v>60</v>
      </c>
      <c r="C59" s="8" t="s">
        <v>90</v>
      </c>
      <c r="D59" s="8" t="s">
        <v>97</v>
      </c>
      <c r="E59" s="9" t="s">
        <v>69</v>
      </c>
      <c r="F59" s="10" t="s">
        <v>182</v>
      </c>
      <c r="G59" s="6"/>
      <c r="H59" s="6"/>
      <c r="I59" s="6">
        <v>7.65</v>
      </c>
      <c r="J59" s="6"/>
      <c r="K59" s="6"/>
      <c r="L59" s="6"/>
      <c r="M59" s="6"/>
      <c r="N59" s="35"/>
      <c r="O59" s="39"/>
      <c r="P59" s="28"/>
      <c r="Q59" s="28"/>
      <c r="R59" s="28">
        <v>840</v>
      </c>
      <c r="S59" s="28">
        <v>1012.8</v>
      </c>
      <c r="T59" s="28"/>
      <c r="U59" s="28"/>
      <c r="V59" s="28"/>
      <c r="W59" s="28"/>
      <c r="X59" s="28"/>
      <c r="Y59" s="28"/>
      <c r="Z59" s="28"/>
      <c r="AA59" s="28">
        <v>16</v>
      </c>
      <c r="AB59" s="28">
        <v>22</v>
      </c>
      <c r="AC59" s="28"/>
      <c r="AD59" s="28">
        <v>18</v>
      </c>
      <c r="AE59" s="28">
        <v>18</v>
      </c>
      <c r="AF59" s="28"/>
      <c r="AG59" s="28">
        <v>17</v>
      </c>
    </row>
    <row r="60" spans="1:33" x14ac:dyDescent="0.25">
      <c r="A60" s="11" t="s">
        <v>98</v>
      </c>
      <c r="B60" s="8" t="s">
        <v>60</v>
      </c>
      <c r="C60" s="8" t="s">
        <v>90</v>
      </c>
      <c r="D60" s="8" t="s">
        <v>35</v>
      </c>
      <c r="E60" s="9" t="s">
        <v>19</v>
      </c>
      <c r="F60" s="10" t="s">
        <v>72</v>
      </c>
      <c r="G60" s="6"/>
      <c r="H60" s="6"/>
      <c r="I60" s="6">
        <v>4.75</v>
      </c>
      <c r="J60" s="6"/>
      <c r="K60" s="6"/>
      <c r="L60" s="6"/>
      <c r="M60" s="6" t="e">
        <f>VLOOKUP(A60,Merrick!$A$2:$G$46,7,FALSE)</f>
        <v>#N/A</v>
      </c>
      <c r="N60" s="35"/>
      <c r="O60" s="39"/>
      <c r="P60" s="28"/>
      <c r="Q60" s="28"/>
      <c r="R60" s="28">
        <v>840</v>
      </c>
      <c r="S60" s="28">
        <v>1012.8</v>
      </c>
      <c r="T60" s="28"/>
      <c r="U60" s="28"/>
      <c r="V60" s="28"/>
      <c r="W60" s="28"/>
      <c r="X60" s="28"/>
      <c r="Y60" s="28"/>
      <c r="Z60" s="28"/>
      <c r="AA60" s="28">
        <v>16</v>
      </c>
      <c r="AB60" s="28">
        <v>22</v>
      </c>
      <c r="AC60" s="28"/>
      <c r="AD60" s="28">
        <v>18</v>
      </c>
      <c r="AE60" s="28">
        <v>18</v>
      </c>
      <c r="AF60" s="28"/>
      <c r="AG60" s="28">
        <v>17</v>
      </c>
    </row>
    <row r="61" spans="1:33" x14ac:dyDescent="0.25">
      <c r="A61" s="19" t="s">
        <v>99</v>
      </c>
      <c r="B61" s="8" t="s">
        <v>60</v>
      </c>
      <c r="C61" s="8" t="s">
        <v>90</v>
      </c>
      <c r="D61" s="8" t="s">
        <v>35</v>
      </c>
      <c r="E61" s="9" t="s">
        <v>30</v>
      </c>
      <c r="F61" s="10" t="s">
        <v>74</v>
      </c>
      <c r="G61" s="6"/>
      <c r="H61" s="6">
        <v>4.5999999999999996</v>
      </c>
      <c r="I61" s="6"/>
      <c r="J61" s="6"/>
      <c r="K61" s="6"/>
      <c r="L61" s="6">
        <v>4.6500000000000004</v>
      </c>
      <c r="M61" s="6">
        <f>VLOOKUP(A61,Merrick!$A$2:$G$46,7,FALSE)</f>
        <v>4.6500000000000004</v>
      </c>
      <c r="N61" s="35"/>
      <c r="O61" s="39"/>
      <c r="P61" s="28"/>
      <c r="Q61" s="28"/>
      <c r="R61" s="28">
        <v>840</v>
      </c>
      <c r="S61" s="28">
        <v>1012.8</v>
      </c>
      <c r="T61" s="28"/>
      <c r="U61" s="28"/>
      <c r="V61" s="28"/>
      <c r="W61" s="28"/>
      <c r="X61" s="28"/>
      <c r="Y61" s="28"/>
      <c r="Z61" s="28"/>
      <c r="AA61" s="28">
        <v>16</v>
      </c>
      <c r="AB61" s="28">
        <v>22</v>
      </c>
      <c r="AC61" s="28"/>
      <c r="AD61" s="28">
        <v>18</v>
      </c>
      <c r="AE61" s="28">
        <v>18</v>
      </c>
      <c r="AF61" s="28"/>
      <c r="AG61" s="28">
        <v>17</v>
      </c>
    </row>
    <row r="62" spans="1:33" x14ac:dyDescent="0.25">
      <c r="A62" s="19" t="s">
        <v>100</v>
      </c>
      <c r="B62" s="8" t="s">
        <v>60</v>
      </c>
      <c r="C62" s="8" t="s">
        <v>90</v>
      </c>
      <c r="D62" s="8" t="s">
        <v>35</v>
      </c>
      <c r="E62" s="9" t="s">
        <v>30</v>
      </c>
      <c r="F62" s="10" t="s">
        <v>74</v>
      </c>
      <c r="G62" s="6"/>
      <c r="H62" s="6"/>
      <c r="I62" s="6"/>
      <c r="J62" s="6"/>
      <c r="K62" s="6"/>
      <c r="L62" s="6"/>
      <c r="M62" s="6" t="e">
        <f>VLOOKUP(A62,Merrick!$A$2:$G$46,7,FALSE)</f>
        <v>#N/A</v>
      </c>
      <c r="N62" s="35"/>
      <c r="O62" s="39"/>
      <c r="P62" s="28"/>
      <c r="Q62" s="28"/>
      <c r="R62" s="28">
        <v>840</v>
      </c>
      <c r="S62" s="28">
        <v>1012.8</v>
      </c>
      <c r="T62" s="28"/>
      <c r="U62" s="28"/>
      <c r="V62" s="28"/>
      <c r="W62" s="28"/>
      <c r="X62" s="28"/>
      <c r="Y62" s="28"/>
      <c r="Z62" s="28"/>
      <c r="AA62" s="28">
        <v>16</v>
      </c>
      <c r="AB62" s="28">
        <v>22</v>
      </c>
      <c r="AC62" s="28"/>
      <c r="AD62" s="28">
        <v>18</v>
      </c>
      <c r="AE62" s="28">
        <v>18</v>
      </c>
      <c r="AF62" s="28"/>
      <c r="AG62" s="28">
        <v>17</v>
      </c>
    </row>
    <row r="63" spans="1:33" ht="30.75" customHeight="1" x14ac:dyDescent="0.25">
      <c r="A63" s="20" t="s">
        <v>101</v>
      </c>
      <c r="B63" s="8" t="s">
        <v>60</v>
      </c>
      <c r="C63" s="8" t="s">
        <v>90</v>
      </c>
      <c r="D63" s="8" t="s">
        <v>35</v>
      </c>
      <c r="E63" s="9" t="s">
        <v>30</v>
      </c>
      <c r="F63" s="10" t="s">
        <v>74</v>
      </c>
      <c r="G63" s="6"/>
      <c r="H63" s="6">
        <v>4.5999999999999996</v>
      </c>
      <c r="I63" s="6"/>
      <c r="J63" s="6"/>
      <c r="K63" s="6"/>
      <c r="L63" s="6">
        <v>4.6500000000000004</v>
      </c>
      <c r="M63" s="6">
        <v>4.6500000000000004</v>
      </c>
      <c r="N63" s="35"/>
      <c r="O63" s="39"/>
      <c r="P63" s="28"/>
      <c r="Q63" s="28"/>
      <c r="R63" s="28">
        <v>840</v>
      </c>
      <c r="S63" s="28">
        <v>1012.8</v>
      </c>
      <c r="T63" s="28"/>
      <c r="U63" s="28"/>
      <c r="V63" s="28"/>
      <c r="W63" s="28"/>
      <c r="X63" s="28"/>
      <c r="Y63" s="28"/>
      <c r="Z63" s="28"/>
      <c r="AA63" s="28">
        <v>16</v>
      </c>
      <c r="AB63" s="28">
        <v>22</v>
      </c>
      <c r="AC63" s="28"/>
      <c r="AD63" s="28">
        <v>18</v>
      </c>
      <c r="AE63" s="28">
        <v>18</v>
      </c>
      <c r="AF63" s="28"/>
      <c r="AG63" s="28">
        <v>17</v>
      </c>
    </row>
    <row r="64" spans="1:33" x14ac:dyDescent="0.25">
      <c r="A64" s="11" t="s">
        <v>102</v>
      </c>
      <c r="B64" s="8" t="s">
        <v>60</v>
      </c>
      <c r="C64" s="8" t="s">
        <v>17</v>
      </c>
      <c r="D64" s="8" t="s">
        <v>25</v>
      </c>
      <c r="E64" s="9" t="s">
        <v>19</v>
      </c>
      <c r="F64" s="10" t="s">
        <v>72</v>
      </c>
      <c r="G64" s="6"/>
      <c r="H64" s="6"/>
      <c r="I64" s="6">
        <v>3.5</v>
      </c>
      <c r="J64" s="6"/>
      <c r="K64" s="6"/>
      <c r="L64" s="6"/>
      <c r="M64" s="6" t="e">
        <f>VLOOKUP(A64,Merrick!$A$2:$G$46,7,FALSE)</f>
        <v>#N/A</v>
      </c>
      <c r="N64" s="35"/>
      <c r="O64" s="39"/>
      <c r="P64" s="28"/>
      <c r="Q64" s="28"/>
      <c r="R64" s="28">
        <v>864</v>
      </c>
      <c r="S64" s="28">
        <v>1012.8</v>
      </c>
      <c r="T64" s="28"/>
      <c r="U64" s="28"/>
      <c r="V64" s="28"/>
      <c r="W64" s="28"/>
      <c r="X64" s="28"/>
      <c r="Y64" s="28"/>
      <c r="Z64" s="28"/>
      <c r="AA64" s="28">
        <v>16</v>
      </c>
      <c r="AB64" s="28">
        <v>22</v>
      </c>
      <c r="AC64" s="28"/>
      <c r="AD64" s="28">
        <v>18</v>
      </c>
      <c r="AE64" s="28">
        <v>18</v>
      </c>
      <c r="AF64" s="28"/>
      <c r="AG64" s="28">
        <v>17</v>
      </c>
    </row>
    <row r="65" spans="1:33" x14ac:dyDescent="0.25">
      <c r="A65" s="11" t="s">
        <v>103</v>
      </c>
      <c r="B65" s="8" t="s">
        <v>60</v>
      </c>
      <c r="C65" s="8" t="s">
        <v>17</v>
      </c>
      <c r="D65" s="8" t="s">
        <v>25</v>
      </c>
      <c r="E65" s="9" t="s">
        <v>19</v>
      </c>
      <c r="F65" s="10" t="s">
        <v>74</v>
      </c>
      <c r="G65" s="6"/>
      <c r="H65" s="6"/>
      <c r="I65" s="6">
        <v>3.5</v>
      </c>
      <c r="J65" s="6"/>
      <c r="K65" s="6"/>
      <c r="L65" s="6"/>
      <c r="M65" s="6" t="e">
        <f>VLOOKUP(A65,Merrick!$A$2:$G$46,7,FALSE)</f>
        <v>#N/A</v>
      </c>
      <c r="N65" s="35"/>
      <c r="O65" s="39"/>
      <c r="P65" s="28"/>
      <c r="Q65" s="28"/>
      <c r="R65" s="28">
        <v>864</v>
      </c>
      <c r="S65" s="28">
        <v>1012.8</v>
      </c>
      <c r="T65" s="28"/>
      <c r="U65" s="28"/>
      <c r="V65" s="28"/>
      <c r="W65" s="28"/>
      <c r="X65" s="28"/>
      <c r="Y65" s="28"/>
      <c r="Z65" s="28"/>
      <c r="AA65" s="28">
        <v>16</v>
      </c>
      <c r="AB65" s="28">
        <v>22</v>
      </c>
      <c r="AC65" s="28"/>
      <c r="AD65" s="28">
        <v>18</v>
      </c>
      <c r="AE65" s="28">
        <v>18</v>
      </c>
      <c r="AF65" s="28"/>
      <c r="AG65" s="28">
        <v>17</v>
      </c>
    </row>
    <row r="66" spans="1:33" x14ac:dyDescent="0.25">
      <c r="A66" s="11" t="s">
        <v>104</v>
      </c>
      <c r="B66" s="8" t="s">
        <v>60</v>
      </c>
      <c r="C66" s="8" t="s">
        <v>17</v>
      </c>
      <c r="D66" s="8" t="s">
        <v>35</v>
      </c>
      <c r="E66" s="9" t="s">
        <v>19</v>
      </c>
      <c r="F66" s="10" t="s">
        <v>72</v>
      </c>
      <c r="G66" s="6"/>
      <c r="H66" s="6"/>
      <c r="I66" s="6">
        <v>4.75</v>
      </c>
      <c r="J66" s="6"/>
      <c r="K66" s="6"/>
      <c r="L66" s="6"/>
      <c r="M66" s="6" t="e">
        <f>VLOOKUP(A66,Merrick!$A$2:$G$46,7,FALSE)</f>
        <v>#N/A</v>
      </c>
      <c r="N66" s="35"/>
      <c r="O66" s="39"/>
      <c r="P66" s="28"/>
      <c r="Q66" s="28"/>
      <c r="R66" s="28">
        <v>864</v>
      </c>
      <c r="S66" s="28">
        <v>1012.8</v>
      </c>
      <c r="T66" s="28"/>
      <c r="U66" s="28"/>
      <c r="V66" s="28"/>
      <c r="W66" s="28"/>
      <c r="X66" s="28"/>
      <c r="Y66" s="28"/>
      <c r="Z66" s="28"/>
      <c r="AA66" s="28">
        <v>16</v>
      </c>
      <c r="AB66" s="28">
        <v>22</v>
      </c>
      <c r="AC66" s="28"/>
      <c r="AD66" s="28">
        <v>18</v>
      </c>
      <c r="AE66" s="28">
        <v>18</v>
      </c>
      <c r="AF66" s="28"/>
      <c r="AG66" s="28">
        <v>17</v>
      </c>
    </row>
    <row r="67" spans="1:33" x14ac:dyDescent="0.25">
      <c r="A67" s="11" t="s">
        <v>105</v>
      </c>
      <c r="B67" s="8" t="s">
        <v>60</v>
      </c>
      <c r="C67" s="8" t="s">
        <v>17</v>
      </c>
      <c r="D67" s="8" t="s">
        <v>35</v>
      </c>
      <c r="E67" s="9" t="s">
        <v>19</v>
      </c>
      <c r="F67" s="10" t="s">
        <v>74</v>
      </c>
      <c r="G67" s="6"/>
      <c r="H67" s="6">
        <v>5.2</v>
      </c>
      <c r="I67" s="6">
        <v>4.75</v>
      </c>
      <c r="J67" s="6"/>
      <c r="K67" s="6"/>
      <c r="L67" s="6"/>
      <c r="M67" s="6" t="e">
        <f>VLOOKUP(A67,Merrick!$A$2:$G$46,7,FALSE)</f>
        <v>#N/A</v>
      </c>
      <c r="N67" s="35"/>
      <c r="O67" s="39"/>
      <c r="P67" s="28"/>
      <c r="Q67" s="28"/>
      <c r="R67" s="28">
        <v>864</v>
      </c>
      <c r="S67" s="28">
        <v>1012.8</v>
      </c>
      <c r="T67" s="28"/>
      <c r="U67" s="28"/>
      <c r="V67" s="28"/>
      <c r="W67" s="28"/>
      <c r="X67" s="28"/>
      <c r="Y67" s="28"/>
      <c r="Z67" s="28"/>
      <c r="AA67" s="28">
        <v>16</v>
      </c>
      <c r="AB67" s="28">
        <v>22</v>
      </c>
      <c r="AC67" s="28"/>
      <c r="AD67" s="28">
        <v>18</v>
      </c>
      <c r="AE67" s="28">
        <v>18</v>
      </c>
      <c r="AF67" s="28"/>
      <c r="AG67" s="28">
        <v>17</v>
      </c>
    </row>
    <row r="68" spans="1:33" x14ac:dyDescent="0.25">
      <c r="A68" s="11" t="s">
        <v>106</v>
      </c>
      <c r="B68" s="8" t="s">
        <v>60</v>
      </c>
      <c r="C68" s="8" t="s">
        <v>107</v>
      </c>
      <c r="D68" s="8" t="s">
        <v>25</v>
      </c>
      <c r="E68" s="9" t="s">
        <v>19</v>
      </c>
      <c r="F68" s="10" t="s">
        <v>72</v>
      </c>
      <c r="G68" s="6"/>
      <c r="H68" s="6"/>
      <c r="I68" s="6">
        <v>3.6</v>
      </c>
      <c r="J68" s="6"/>
      <c r="K68" s="6"/>
      <c r="L68" s="6"/>
      <c r="M68" s="6" t="e">
        <f>VLOOKUP(A68,Merrick!$A$2:$G$46,7,FALSE)</f>
        <v>#N/A</v>
      </c>
      <c r="N68" s="35"/>
      <c r="O68" s="39"/>
      <c r="P68" s="28"/>
      <c r="Q68" s="28"/>
      <c r="R68" s="28">
        <v>840</v>
      </c>
      <c r="S68" s="28">
        <v>1012.8</v>
      </c>
      <c r="T68" s="28"/>
      <c r="U68" s="28"/>
      <c r="V68" s="28"/>
      <c r="W68" s="28"/>
      <c r="X68" s="28"/>
      <c r="Y68" s="28"/>
      <c r="Z68" s="28"/>
      <c r="AA68" s="28">
        <v>16</v>
      </c>
      <c r="AB68" s="28">
        <v>22</v>
      </c>
      <c r="AC68" s="28"/>
      <c r="AD68" s="28">
        <v>18</v>
      </c>
      <c r="AE68" s="28">
        <v>18</v>
      </c>
      <c r="AF68" s="28"/>
      <c r="AG68" s="28">
        <v>17</v>
      </c>
    </row>
    <row r="69" spans="1:33" x14ac:dyDescent="0.25">
      <c r="A69" s="11" t="s">
        <v>108</v>
      </c>
      <c r="B69" s="8" t="s">
        <v>60</v>
      </c>
      <c r="C69" s="8" t="s">
        <v>107</v>
      </c>
      <c r="D69" s="8" t="s">
        <v>25</v>
      </c>
      <c r="E69" s="9" t="s">
        <v>19</v>
      </c>
      <c r="F69" s="10" t="s">
        <v>74</v>
      </c>
      <c r="G69" s="6"/>
      <c r="H69" s="6"/>
      <c r="I69" s="6">
        <v>3.6</v>
      </c>
      <c r="J69" s="6"/>
      <c r="K69" s="6"/>
      <c r="L69" s="6"/>
      <c r="M69" s="6" t="e">
        <f>VLOOKUP(A69,Merrick!$A$2:$G$46,7,FALSE)</f>
        <v>#N/A</v>
      </c>
      <c r="N69" s="35"/>
      <c r="O69" s="39"/>
      <c r="P69" s="28"/>
      <c r="Q69" s="28"/>
      <c r="R69" s="28">
        <v>840</v>
      </c>
      <c r="S69" s="28">
        <v>1012.8</v>
      </c>
      <c r="T69" s="28"/>
      <c r="U69" s="28"/>
      <c r="V69" s="28"/>
      <c r="W69" s="28"/>
      <c r="X69" s="28"/>
      <c r="Y69" s="28"/>
      <c r="Z69" s="28"/>
      <c r="AA69" s="28">
        <v>16</v>
      </c>
      <c r="AB69" s="28">
        <v>22</v>
      </c>
      <c r="AC69" s="28"/>
      <c r="AD69" s="28">
        <v>18</v>
      </c>
      <c r="AE69" s="28">
        <v>18</v>
      </c>
      <c r="AF69" s="28"/>
      <c r="AG69" s="28">
        <v>17</v>
      </c>
    </row>
    <row r="70" spans="1:33" x14ac:dyDescent="0.25">
      <c r="A70" s="11" t="s">
        <v>109</v>
      </c>
      <c r="B70" s="8" t="s">
        <v>60</v>
      </c>
      <c r="C70" s="8" t="s">
        <v>107</v>
      </c>
      <c r="D70" s="8" t="s">
        <v>35</v>
      </c>
      <c r="E70" s="9" t="s">
        <v>19</v>
      </c>
      <c r="F70" s="10" t="s">
        <v>72</v>
      </c>
      <c r="G70" s="6"/>
      <c r="H70" s="6"/>
      <c r="I70" s="6">
        <v>4.8499999999999996</v>
      </c>
      <c r="J70" s="6"/>
      <c r="K70" s="6"/>
      <c r="L70" s="6"/>
      <c r="M70" s="6" t="e">
        <f>VLOOKUP(A70,Merrick!$A$2:$G$46,7,FALSE)</f>
        <v>#N/A</v>
      </c>
      <c r="N70" s="35"/>
      <c r="O70" s="39"/>
      <c r="P70" s="28"/>
      <c r="Q70" s="28"/>
      <c r="R70" s="28">
        <v>840</v>
      </c>
      <c r="S70" s="28">
        <v>1012.8</v>
      </c>
      <c r="T70" s="28"/>
      <c r="U70" s="28"/>
      <c r="V70" s="28"/>
      <c r="W70" s="28"/>
      <c r="X70" s="28"/>
      <c r="Y70" s="28"/>
      <c r="Z70" s="28"/>
      <c r="AA70" s="28">
        <v>16</v>
      </c>
      <c r="AB70" s="28">
        <v>22</v>
      </c>
      <c r="AC70" s="28"/>
      <c r="AD70" s="28">
        <v>18</v>
      </c>
      <c r="AE70" s="28">
        <v>18</v>
      </c>
      <c r="AF70" s="28"/>
      <c r="AG70" s="28">
        <v>17</v>
      </c>
    </row>
    <row r="71" spans="1:33" x14ac:dyDescent="0.25">
      <c r="A71" s="11" t="s">
        <v>110</v>
      </c>
      <c r="B71" s="8" t="s">
        <v>60</v>
      </c>
      <c r="C71" s="8" t="s">
        <v>107</v>
      </c>
      <c r="D71" s="8" t="s">
        <v>35</v>
      </c>
      <c r="E71" s="9" t="s">
        <v>19</v>
      </c>
      <c r="F71" s="10" t="s">
        <v>74</v>
      </c>
      <c r="G71" s="6"/>
      <c r="H71" s="6">
        <v>5.4</v>
      </c>
      <c r="I71" s="6">
        <v>4.8499999999999996</v>
      </c>
      <c r="J71" s="6"/>
      <c r="K71" s="6"/>
      <c r="L71" s="6"/>
      <c r="M71" s="6" t="e">
        <f>VLOOKUP(A71,Merrick!$A$2:$G$46,7,FALSE)</f>
        <v>#N/A</v>
      </c>
      <c r="N71" s="35"/>
      <c r="O71" s="39"/>
      <c r="P71" s="28"/>
      <c r="Q71" s="28"/>
      <c r="R71" s="28">
        <v>840</v>
      </c>
      <c r="S71" s="28">
        <v>1012.8</v>
      </c>
      <c r="T71" s="28"/>
      <c r="U71" s="28"/>
      <c r="V71" s="28"/>
      <c r="W71" s="28"/>
      <c r="X71" s="28"/>
      <c r="Y71" s="28"/>
      <c r="Z71" s="28"/>
      <c r="AA71" s="28">
        <v>16</v>
      </c>
      <c r="AB71" s="28">
        <v>22</v>
      </c>
      <c r="AC71" s="28"/>
      <c r="AD71" s="28">
        <v>18</v>
      </c>
      <c r="AE71" s="28">
        <v>18</v>
      </c>
      <c r="AF71" s="28"/>
      <c r="AG71" s="28">
        <v>17</v>
      </c>
    </row>
    <row r="72" spans="1:33" x14ac:dyDescent="0.25">
      <c r="A72" s="11" t="s">
        <v>111</v>
      </c>
      <c r="B72" s="8" t="s">
        <v>112</v>
      </c>
      <c r="C72" s="8" t="s">
        <v>24</v>
      </c>
      <c r="D72" s="8" t="s">
        <v>25</v>
      </c>
      <c r="E72" s="9" t="s">
        <v>30</v>
      </c>
      <c r="F72" s="10" t="s">
        <v>20</v>
      </c>
      <c r="G72" s="6"/>
      <c r="H72" s="6"/>
      <c r="I72" s="6"/>
      <c r="J72" s="6"/>
      <c r="K72" s="6"/>
      <c r="L72" s="6"/>
      <c r="M72" s="6" t="e">
        <f>VLOOKUP(A72,Merrick!$A$2:$G$46,7,FALSE)</f>
        <v>#N/A</v>
      </c>
      <c r="N72" s="35"/>
      <c r="O72" s="39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</row>
    <row r="73" spans="1:33" x14ac:dyDescent="0.25">
      <c r="A73" s="11" t="s">
        <v>113</v>
      </c>
      <c r="B73" s="8" t="s">
        <v>112</v>
      </c>
      <c r="C73" s="8" t="s">
        <v>24</v>
      </c>
      <c r="D73" s="8" t="s">
        <v>35</v>
      </c>
      <c r="E73" s="9" t="s">
        <v>30</v>
      </c>
      <c r="F73" s="10" t="s">
        <v>20</v>
      </c>
      <c r="G73" s="6"/>
      <c r="H73" s="6"/>
      <c r="I73" s="6"/>
      <c r="J73" s="6"/>
      <c r="K73" s="6"/>
      <c r="L73" s="6"/>
      <c r="M73" s="6" t="e">
        <f>VLOOKUP(A73,Merrick!$A$2:$G$46,7,FALSE)</f>
        <v>#N/A</v>
      </c>
      <c r="N73" s="35"/>
      <c r="O73" s="39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</row>
    <row r="74" spans="1:33" x14ac:dyDescent="0.25">
      <c r="A74" s="11" t="s">
        <v>114</v>
      </c>
      <c r="B74" s="8" t="s">
        <v>112</v>
      </c>
      <c r="C74" s="8" t="s">
        <v>43</v>
      </c>
      <c r="D74" s="8" t="s">
        <v>25</v>
      </c>
      <c r="E74" s="9" t="s">
        <v>30</v>
      </c>
      <c r="F74" s="10" t="s">
        <v>20</v>
      </c>
      <c r="G74" s="6"/>
      <c r="H74" s="6"/>
      <c r="I74" s="6"/>
      <c r="J74" s="6"/>
      <c r="K74" s="6"/>
      <c r="L74" s="6"/>
      <c r="M74" s="6" t="e">
        <f>VLOOKUP(A74,Merrick!$A$2:$G$46,7,FALSE)</f>
        <v>#N/A</v>
      </c>
      <c r="N74" s="35"/>
      <c r="O74" s="39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</row>
    <row r="75" spans="1:33" x14ac:dyDescent="0.25">
      <c r="A75" s="11" t="s">
        <v>115</v>
      </c>
      <c r="B75" s="8" t="s">
        <v>112</v>
      </c>
      <c r="C75" s="8" t="s">
        <v>43</v>
      </c>
      <c r="D75" s="8" t="s">
        <v>35</v>
      </c>
      <c r="E75" s="9" t="s">
        <v>30</v>
      </c>
      <c r="F75" s="10" t="s">
        <v>20</v>
      </c>
      <c r="G75" s="6"/>
      <c r="H75" s="6"/>
      <c r="I75" s="6"/>
      <c r="J75" s="6"/>
      <c r="K75" s="6"/>
      <c r="L75" s="6"/>
      <c r="M75" s="6" t="e">
        <f>VLOOKUP(A75,Merrick!$A$2:$G$46,7,FALSE)</f>
        <v>#N/A</v>
      </c>
      <c r="N75" s="35"/>
      <c r="O75" s="39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</row>
  </sheetData>
  <autoFilter ref="A1:AG75" xr:uid="{00000000-0001-0000-0000-000000000000}"/>
  <sortState xmlns:xlrd2="http://schemas.microsoft.com/office/spreadsheetml/2017/richdata2" ref="A2:O75">
    <sortCondition ref="B2:B75"/>
    <sortCondition ref="C2:C75"/>
    <sortCondition ref="D2:D75"/>
    <sortCondition ref="E2:E75"/>
    <sortCondition ref="F2:F75"/>
    <sortCondition descending="1" sortBy="cellColor" ref="A2:A75" dxfId="0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753A-2B90-4F26-817C-1E88EF4CDBB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46"/>
  <sheetViews>
    <sheetView workbookViewId="0">
      <selection activeCell="H12" sqref="H12"/>
    </sheetView>
  </sheetViews>
  <sheetFormatPr defaultRowHeight="15" x14ac:dyDescent="0.25"/>
  <cols>
    <col min="1" max="1" width="19.85546875" customWidth="1"/>
    <col min="2" max="2" width="12.42578125" customWidth="1"/>
    <col min="3" max="3" width="18.28515625" customWidth="1"/>
    <col min="4" max="4" width="23.5703125" bestFit="1" customWidth="1"/>
    <col min="5" max="5" width="12.7109375" customWidth="1"/>
    <col min="9" max="9" width="17.5703125" customWidth="1"/>
    <col min="10" max="10" width="9" customWidth="1"/>
    <col min="12" max="12" width="15.85546875" bestFit="1" customWidth="1"/>
    <col min="13" max="13" width="9.140625" style="22"/>
    <col min="15" max="15" width="10.28515625" bestFit="1" customWidth="1"/>
    <col min="16" max="16" width="14.42578125" bestFit="1" customWidth="1"/>
    <col min="18" max="18" width="5.5703125" bestFit="1" customWidth="1"/>
    <col min="19" max="19" width="25.7109375" bestFit="1" customWidth="1"/>
  </cols>
  <sheetData>
    <row r="1" spans="1:13" x14ac:dyDescent="0.25">
      <c r="A1" s="12" t="s">
        <v>116</v>
      </c>
      <c r="B1" s="12" t="s">
        <v>117</v>
      </c>
      <c r="C1" s="12" t="s">
        <v>118</v>
      </c>
      <c r="D1" s="12" t="s">
        <v>119</v>
      </c>
      <c r="E1" s="12" t="s">
        <v>120</v>
      </c>
      <c r="F1" s="12" t="s">
        <v>121</v>
      </c>
      <c r="G1" s="12" t="s">
        <v>122</v>
      </c>
      <c r="I1" s="15" t="s">
        <v>123</v>
      </c>
      <c r="L1" t="s">
        <v>126</v>
      </c>
      <c r="M1" s="22">
        <v>2.68</v>
      </c>
    </row>
    <row r="2" spans="1:13" x14ac:dyDescent="0.25">
      <c r="A2" s="16" t="s">
        <v>66</v>
      </c>
      <c r="B2" s="17" t="s">
        <v>124</v>
      </c>
      <c r="C2" s="18" t="s">
        <v>125</v>
      </c>
      <c r="D2" s="13" t="s">
        <v>126</v>
      </c>
      <c r="E2" s="13" t="s">
        <v>127</v>
      </c>
      <c r="F2" s="13" t="s">
        <v>128</v>
      </c>
      <c r="G2" s="14">
        <f>VLOOKUP(D2,$L$1:$M$36,2,FALSE)</f>
        <v>2.68</v>
      </c>
      <c r="I2" t="s">
        <v>213</v>
      </c>
      <c r="L2" t="s">
        <v>129</v>
      </c>
      <c r="M2" s="22">
        <v>2.0499999999999998</v>
      </c>
    </row>
    <row r="3" spans="1:13" x14ac:dyDescent="0.25">
      <c r="A3" s="16" t="s">
        <v>62</v>
      </c>
      <c r="B3" s="17" t="s">
        <v>124</v>
      </c>
      <c r="C3" s="18" t="s">
        <v>125</v>
      </c>
      <c r="D3" s="13" t="s">
        <v>129</v>
      </c>
      <c r="E3" s="13" t="s">
        <v>130</v>
      </c>
      <c r="F3" s="13" t="s">
        <v>128</v>
      </c>
      <c r="G3" s="14">
        <f t="shared" ref="G3:G46" si="0">VLOOKUP(D3,$L$1:$M$36,2,FALSE)</f>
        <v>2.0499999999999998</v>
      </c>
      <c r="L3" t="s">
        <v>132</v>
      </c>
      <c r="M3" s="22">
        <v>1</v>
      </c>
    </row>
    <row r="4" spans="1:13" x14ac:dyDescent="0.25">
      <c r="A4" s="13" t="s">
        <v>131</v>
      </c>
      <c r="B4" s="17" t="s">
        <v>124</v>
      </c>
      <c r="C4" s="18" t="s">
        <v>125</v>
      </c>
      <c r="D4" s="13" t="s">
        <v>132</v>
      </c>
      <c r="E4" s="13" t="s">
        <v>133</v>
      </c>
      <c r="F4" s="13" t="s">
        <v>128</v>
      </c>
      <c r="G4" s="14">
        <f t="shared" si="0"/>
        <v>1</v>
      </c>
      <c r="L4" t="s">
        <v>134</v>
      </c>
      <c r="M4" s="22">
        <v>2.4500000000000002</v>
      </c>
    </row>
    <row r="5" spans="1:13" x14ac:dyDescent="0.25">
      <c r="A5" s="16" t="s">
        <v>81</v>
      </c>
      <c r="B5" s="17" t="s">
        <v>124</v>
      </c>
      <c r="C5" s="18" t="s">
        <v>125</v>
      </c>
      <c r="D5" s="13" t="s">
        <v>134</v>
      </c>
      <c r="E5" s="13" t="s">
        <v>127</v>
      </c>
      <c r="F5" s="13" t="s">
        <v>135</v>
      </c>
      <c r="G5" s="14">
        <f t="shared" si="0"/>
        <v>2.4500000000000002</v>
      </c>
      <c r="L5" t="s">
        <v>136</v>
      </c>
      <c r="M5" s="22">
        <v>1.9</v>
      </c>
    </row>
    <row r="6" spans="1:13" x14ac:dyDescent="0.25">
      <c r="A6" s="13" t="s">
        <v>131</v>
      </c>
      <c r="B6" s="17" t="s">
        <v>124</v>
      </c>
      <c r="C6" s="18" t="s">
        <v>125</v>
      </c>
      <c r="D6" s="13" t="s">
        <v>136</v>
      </c>
      <c r="E6" s="13" t="s">
        <v>130</v>
      </c>
      <c r="F6" s="13" t="s">
        <v>135</v>
      </c>
      <c r="G6" s="14">
        <f t="shared" si="0"/>
        <v>1.9</v>
      </c>
      <c r="L6" t="s">
        <v>137</v>
      </c>
      <c r="M6" s="22">
        <v>1.1299999999999999</v>
      </c>
    </row>
    <row r="7" spans="1:13" x14ac:dyDescent="0.25">
      <c r="A7" s="13" t="s">
        <v>131</v>
      </c>
      <c r="B7" s="17" t="s">
        <v>124</v>
      </c>
      <c r="C7" s="18" t="s">
        <v>125</v>
      </c>
      <c r="D7" s="13" t="s">
        <v>137</v>
      </c>
      <c r="E7" s="13" t="s">
        <v>133</v>
      </c>
      <c r="F7" s="13" t="s">
        <v>135</v>
      </c>
      <c r="G7" s="14">
        <f t="shared" si="0"/>
        <v>1.1299999999999999</v>
      </c>
      <c r="L7" t="s">
        <v>149</v>
      </c>
      <c r="M7" s="22">
        <v>3.45</v>
      </c>
    </row>
    <row r="8" spans="1:13" x14ac:dyDescent="0.25">
      <c r="A8" s="13" t="s">
        <v>131</v>
      </c>
      <c r="B8" s="17" t="s">
        <v>124</v>
      </c>
      <c r="C8" s="18" t="s">
        <v>138</v>
      </c>
      <c r="D8" s="18" t="s">
        <v>139</v>
      </c>
      <c r="E8" s="18" t="s">
        <v>120</v>
      </c>
      <c r="F8" s="18" t="s">
        <v>121</v>
      </c>
      <c r="G8" s="18" t="s">
        <v>122</v>
      </c>
      <c r="L8" t="s">
        <v>150</v>
      </c>
      <c r="M8" s="22">
        <v>2.0499999999999998</v>
      </c>
    </row>
    <row r="9" spans="1:13" x14ac:dyDescent="0.25">
      <c r="A9" s="16" t="s">
        <v>86</v>
      </c>
      <c r="B9" s="17" t="s">
        <v>124</v>
      </c>
      <c r="C9" s="18" t="s">
        <v>138</v>
      </c>
      <c r="D9" s="13" t="s">
        <v>140</v>
      </c>
      <c r="E9" s="13" t="s">
        <v>127</v>
      </c>
      <c r="F9" s="13" t="s">
        <v>141</v>
      </c>
      <c r="G9" s="14">
        <f t="shared" si="0"/>
        <v>2.4500000000000002</v>
      </c>
      <c r="L9" t="s">
        <v>151</v>
      </c>
      <c r="M9" s="22">
        <v>0.9</v>
      </c>
    </row>
    <row r="10" spans="1:13" x14ac:dyDescent="0.25">
      <c r="A10" s="13" t="s">
        <v>131</v>
      </c>
      <c r="B10" s="17" t="s">
        <v>124</v>
      </c>
      <c r="C10" s="18" t="s">
        <v>138</v>
      </c>
      <c r="D10" s="13" t="s">
        <v>142</v>
      </c>
      <c r="E10" s="13" t="s">
        <v>130</v>
      </c>
      <c r="F10" s="13" t="s">
        <v>141</v>
      </c>
      <c r="G10" s="14">
        <f t="shared" si="0"/>
        <v>2</v>
      </c>
      <c r="L10" t="s">
        <v>152</v>
      </c>
      <c r="M10" s="22">
        <v>3.35</v>
      </c>
    </row>
    <row r="11" spans="1:13" x14ac:dyDescent="0.25">
      <c r="A11" s="13" t="s">
        <v>131</v>
      </c>
      <c r="B11" s="17" t="s">
        <v>124</v>
      </c>
      <c r="C11" s="18" t="s">
        <v>138</v>
      </c>
      <c r="D11" s="13" t="s">
        <v>143</v>
      </c>
      <c r="E11" s="13" t="s">
        <v>133</v>
      </c>
      <c r="F11" s="13" t="s">
        <v>141</v>
      </c>
      <c r="G11" s="14">
        <f t="shared" si="0"/>
        <v>1.2</v>
      </c>
      <c r="L11" t="s">
        <v>153</v>
      </c>
      <c r="M11" s="22">
        <v>2.4500000000000002</v>
      </c>
    </row>
    <row r="12" spans="1:13" x14ac:dyDescent="0.25">
      <c r="A12" s="16" t="s">
        <v>93</v>
      </c>
      <c r="B12" s="17" t="s">
        <v>124</v>
      </c>
      <c r="C12" s="18" t="s">
        <v>138</v>
      </c>
      <c r="D12" s="13" t="s">
        <v>144</v>
      </c>
      <c r="E12" s="13" t="s">
        <v>127</v>
      </c>
      <c r="F12" s="13" t="s">
        <v>145</v>
      </c>
      <c r="G12" s="14">
        <f t="shared" si="0"/>
        <v>2.65</v>
      </c>
      <c r="L12" t="s">
        <v>154</v>
      </c>
      <c r="M12" s="22">
        <v>1.4</v>
      </c>
    </row>
    <row r="13" spans="1:13" x14ac:dyDescent="0.25">
      <c r="A13" s="13" t="s">
        <v>131</v>
      </c>
      <c r="B13" s="17" t="s">
        <v>124</v>
      </c>
      <c r="C13" s="18" t="s">
        <v>138</v>
      </c>
      <c r="D13" s="13" t="s">
        <v>146</v>
      </c>
      <c r="E13" s="13" t="s">
        <v>130</v>
      </c>
      <c r="F13" s="13" t="s">
        <v>145</v>
      </c>
      <c r="G13" s="14">
        <f t="shared" si="0"/>
        <v>2</v>
      </c>
      <c r="L13" t="s">
        <v>155</v>
      </c>
      <c r="M13" s="22">
        <v>2</v>
      </c>
    </row>
    <row r="14" spans="1:13" x14ac:dyDescent="0.25">
      <c r="A14" s="13" t="s">
        <v>131</v>
      </c>
      <c r="B14" s="17" t="s">
        <v>124</v>
      </c>
      <c r="C14" s="18" t="s">
        <v>138</v>
      </c>
      <c r="D14" s="13" t="s">
        <v>147</v>
      </c>
      <c r="E14" s="13" t="s">
        <v>133</v>
      </c>
      <c r="F14" s="13" t="s">
        <v>145</v>
      </c>
      <c r="G14" s="14">
        <f t="shared" si="0"/>
        <v>1.4</v>
      </c>
      <c r="L14" t="s">
        <v>167</v>
      </c>
      <c r="M14" s="22">
        <v>4.25</v>
      </c>
    </row>
    <row r="15" spans="1:13" x14ac:dyDescent="0.25">
      <c r="A15" s="13" t="s">
        <v>131</v>
      </c>
      <c r="B15" s="17" t="s">
        <v>148</v>
      </c>
      <c r="C15" s="18" t="s">
        <v>125</v>
      </c>
      <c r="D15" s="18" t="s">
        <v>139</v>
      </c>
      <c r="E15" s="18" t="s">
        <v>120</v>
      </c>
      <c r="F15" s="18" t="s">
        <v>121</v>
      </c>
      <c r="G15" s="18" t="s">
        <v>122</v>
      </c>
      <c r="L15" t="s">
        <v>169</v>
      </c>
      <c r="M15" s="22">
        <v>3.75</v>
      </c>
    </row>
    <row r="16" spans="1:13" x14ac:dyDescent="0.25">
      <c r="A16" s="16" t="s">
        <v>67</v>
      </c>
      <c r="B16" s="17" t="s">
        <v>148</v>
      </c>
      <c r="C16" s="18" t="s">
        <v>125</v>
      </c>
      <c r="D16" s="13" t="s">
        <v>149</v>
      </c>
      <c r="E16" s="13" t="s">
        <v>127</v>
      </c>
      <c r="F16" s="13" t="s">
        <v>128</v>
      </c>
      <c r="G16" s="14">
        <f t="shared" si="0"/>
        <v>3.45</v>
      </c>
      <c r="L16" t="s">
        <v>171</v>
      </c>
      <c r="M16" s="22">
        <v>2.1</v>
      </c>
    </row>
    <row r="17" spans="1:13" x14ac:dyDescent="0.25">
      <c r="A17" s="13" t="s">
        <v>131</v>
      </c>
      <c r="B17" s="17" t="s">
        <v>148</v>
      </c>
      <c r="C17" s="18" t="s">
        <v>125</v>
      </c>
      <c r="D17" s="13" t="s">
        <v>150</v>
      </c>
      <c r="E17" s="13" t="s">
        <v>130</v>
      </c>
      <c r="F17" s="13" t="s">
        <v>128</v>
      </c>
      <c r="G17" s="14">
        <f t="shared" si="0"/>
        <v>2.0499999999999998</v>
      </c>
      <c r="L17" t="s">
        <v>178</v>
      </c>
      <c r="M17" s="22">
        <v>1.8</v>
      </c>
    </row>
    <row r="18" spans="1:13" x14ac:dyDescent="0.25">
      <c r="A18" s="13" t="s">
        <v>131</v>
      </c>
      <c r="B18" s="17" t="s">
        <v>148</v>
      </c>
      <c r="C18" s="18" t="s">
        <v>125</v>
      </c>
      <c r="D18" s="13" t="s">
        <v>151</v>
      </c>
      <c r="E18" s="13" t="s">
        <v>133</v>
      </c>
      <c r="F18" s="13" t="s">
        <v>128</v>
      </c>
      <c r="G18" s="14">
        <f t="shared" si="0"/>
        <v>0.9</v>
      </c>
      <c r="L18" t="s">
        <v>179</v>
      </c>
      <c r="M18" s="22">
        <v>3.7</v>
      </c>
    </row>
    <row r="19" spans="1:13" x14ac:dyDescent="0.25">
      <c r="A19" s="13" t="s">
        <v>131</v>
      </c>
      <c r="B19" s="17" t="s">
        <v>148</v>
      </c>
      <c r="C19" s="18" t="s">
        <v>125</v>
      </c>
      <c r="D19" s="13"/>
      <c r="E19" s="13"/>
      <c r="F19" s="13"/>
      <c r="G19" s="14"/>
      <c r="L19" t="s">
        <v>140</v>
      </c>
      <c r="M19" s="22">
        <v>2.4500000000000002</v>
      </c>
    </row>
    <row r="20" spans="1:13" x14ac:dyDescent="0.25">
      <c r="A20" s="13" t="s">
        <v>131</v>
      </c>
      <c r="B20" s="17" t="s">
        <v>148</v>
      </c>
      <c r="C20" s="18" t="s">
        <v>125</v>
      </c>
      <c r="D20" s="13" t="s">
        <v>152</v>
      </c>
      <c r="E20" s="13" t="s">
        <v>127</v>
      </c>
      <c r="F20" s="13" t="s">
        <v>135</v>
      </c>
      <c r="G20" s="14">
        <f t="shared" si="0"/>
        <v>3.35</v>
      </c>
      <c r="L20" t="s">
        <v>142</v>
      </c>
      <c r="M20" s="22">
        <v>2</v>
      </c>
    </row>
    <row r="21" spans="1:13" x14ac:dyDescent="0.25">
      <c r="A21" s="13" t="s">
        <v>131</v>
      </c>
      <c r="B21" s="17" t="s">
        <v>148</v>
      </c>
      <c r="C21" s="18" t="s">
        <v>125</v>
      </c>
      <c r="D21" s="13" t="s">
        <v>153</v>
      </c>
      <c r="E21" s="13" t="s">
        <v>130</v>
      </c>
      <c r="F21" s="13" t="s">
        <v>135</v>
      </c>
      <c r="G21" s="14">
        <f t="shared" si="0"/>
        <v>2.4500000000000002</v>
      </c>
      <c r="L21" t="s">
        <v>143</v>
      </c>
      <c r="M21" s="22">
        <v>1.2</v>
      </c>
    </row>
    <row r="22" spans="1:13" x14ac:dyDescent="0.25">
      <c r="A22" s="13" t="s">
        <v>131</v>
      </c>
      <c r="B22" s="17" t="s">
        <v>148</v>
      </c>
      <c r="C22" s="18" t="s">
        <v>125</v>
      </c>
      <c r="D22" s="13" t="s">
        <v>154</v>
      </c>
      <c r="E22" s="13" t="s">
        <v>133</v>
      </c>
      <c r="F22" s="13" t="s">
        <v>135</v>
      </c>
      <c r="G22" s="14">
        <f t="shared" si="0"/>
        <v>1.4</v>
      </c>
      <c r="L22" t="s">
        <v>144</v>
      </c>
      <c r="M22" s="22">
        <v>2.65</v>
      </c>
    </row>
    <row r="23" spans="1:13" x14ac:dyDescent="0.25">
      <c r="A23" s="13" t="s">
        <v>131</v>
      </c>
      <c r="B23" s="17" t="s">
        <v>148</v>
      </c>
      <c r="C23" s="18" t="s">
        <v>125</v>
      </c>
      <c r="D23" s="13" t="s">
        <v>155</v>
      </c>
      <c r="E23" s="13" t="s">
        <v>156</v>
      </c>
      <c r="F23" s="13" t="s">
        <v>135</v>
      </c>
      <c r="G23" s="14">
        <f t="shared" si="0"/>
        <v>2</v>
      </c>
      <c r="L23" t="s">
        <v>146</v>
      </c>
      <c r="M23" s="22">
        <v>2</v>
      </c>
    </row>
    <row r="24" spans="1:13" x14ac:dyDescent="0.25">
      <c r="A24" s="13" t="s">
        <v>131</v>
      </c>
      <c r="B24" s="17" t="s">
        <v>148</v>
      </c>
      <c r="C24" s="18" t="s">
        <v>138</v>
      </c>
      <c r="D24" s="18" t="s">
        <v>139</v>
      </c>
      <c r="E24" s="18" t="s">
        <v>120</v>
      </c>
      <c r="F24" s="18" t="s">
        <v>121</v>
      </c>
      <c r="G24" s="18" t="s">
        <v>122</v>
      </c>
      <c r="L24" t="s">
        <v>147</v>
      </c>
      <c r="M24" s="22">
        <v>1.4</v>
      </c>
    </row>
    <row r="25" spans="1:13" x14ac:dyDescent="0.25">
      <c r="A25" s="16" t="s">
        <v>88</v>
      </c>
      <c r="B25" s="17" t="s">
        <v>148</v>
      </c>
      <c r="C25" s="18" t="s">
        <v>138</v>
      </c>
      <c r="D25" s="13" t="s">
        <v>157</v>
      </c>
      <c r="E25" s="13" t="s">
        <v>127</v>
      </c>
      <c r="F25" s="13" t="s">
        <v>141</v>
      </c>
      <c r="G25" s="14">
        <f t="shared" si="0"/>
        <v>4.25</v>
      </c>
      <c r="L25" t="s">
        <v>157</v>
      </c>
      <c r="M25" s="22">
        <v>4.25</v>
      </c>
    </row>
    <row r="26" spans="1:13" x14ac:dyDescent="0.25">
      <c r="A26" s="13" t="s">
        <v>131</v>
      </c>
      <c r="B26" s="17" t="s">
        <v>148</v>
      </c>
      <c r="C26" s="18" t="s">
        <v>138</v>
      </c>
      <c r="D26" s="13" t="s">
        <v>158</v>
      </c>
      <c r="E26" s="13" t="s">
        <v>130</v>
      </c>
      <c r="F26" s="13" t="s">
        <v>141</v>
      </c>
      <c r="G26" s="14">
        <f t="shared" si="0"/>
        <v>2.75</v>
      </c>
      <c r="L26" t="s">
        <v>158</v>
      </c>
      <c r="M26" s="22">
        <v>2.75</v>
      </c>
    </row>
    <row r="27" spans="1:13" x14ac:dyDescent="0.25">
      <c r="A27" s="13" t="s">
        <v>131</v>
      </c>
      <c r="B27" s="17" t="s">
        <v>148</v>
      </c>
      <c r="C27" s="18" t="s">
        <v>138</v>
      </c>
      <c r="D27" s="13" t="s">
        <v>159</v>
      </c>
      <c r="E27" s="13" t="s">
        <v>133</v>
      </c>
      <c r="F27" s="13" t="s">
        <v>141</v>
      </c>
      <c r="G27" s="14">
        <f t="shared" si="0"/>
        <v>1.5</v>
      </c>
      <c r="L27" t="s">
        <v>159</v>
      </c>
      <c r="M27" s="22">
        <v>1.5</v>
      </c>
    </row>
    <row r="28" spans="1:13" x14ac:dyDescent="0.25">
      <c r="A28" s="13" t="s">
        <v>131</v>
      </c>
      <c r="B28" s="17" t="s">
        <v>148</v>
      </c>
      <c r="C28" s="18" t="s">
        <v>138</v>
      </c>
      <c r="D28" s="13" t="s">
        <v>160</v>
      </c>
      <c r="E28" s="13" t="s">
        <v>156</v>
      </c>
      <c r="F28" s="13" t="s">
        <v>141</v>
      </c>
      <c r="G28" s="14">
        <f t="shared" si="0"/>
        <v>2.8</v>
      </c>
      <c r="L28" t="s">
        <v>160</v>
      </c>
      <c r="M28" s="22">
        <v>2.8</v>
      </c>
    </row>
    <row r="29" spans="1:13" x14ac:dyDescent="0.25">
      <c r="A29" s="16" t="s">
        <v>99</v>
      </c>
      <c r="B29" s="17" t="s">
        <v>148</v>
      </c>
      <c r="C29" s="18" t="s">
        <v>138</v>
      </c>
      <c r="D29" s="13" t="s">
        <v>161</v>
      </c>
      <c r="E29" s="13" t="s">
        <v>127</v>
      </c>
      <c r="F29" s="13" t="s">
        <v>145</v>
      </c>
      <c r="G29" s="14">
        <f t="shared" si="0"/>
        <v>4.6500000000000004</v>
      </c>
      <c r="L29" t="s">
        <v>161</v>
      </c>
      <c r="M29" s="22">
        <v>4.6500000000000004</v>
      </c>
    </row>
    <row r="30" spans="1:13" x14ac:dyDescent="0.25">
      <c r="A30" s="13" t="s">
        <v>131</v>
      </c>
      <c r="B30" s="17" t="s">
        <v>148</v>
      </c>
      <c r="C30" s="18" t="s">
        <v>138</v>
      </c>
      <c r="D30" s="13" t="s">
        <v>162</v>
      </c>
      <c r="E30" s="13" t="s">
        <v>130</v>
      </c>
      <c r="F30" s="13" t="s">
        <v>145</v>
      </c>
      <c r="G30" s="14">
        <f t="shared" si="0"/>
        <v>3.1</v>
      </c>
      <c r="L30" t="s">
        <v>162</v>
      </c>
      <c r="M30" s="22">
        <v>3.1</v>
      </c>
    </row>
    <row r="31" spans="1:13" x14ac:dyDescent="0.25">
      <c r="A31" s="13" t="s">
        <v>131</v>
      </c>
      <c r="B31" s="17" t="s">
        <v>148</v>
      </c>
      <c r="C31" s="18" t="s">
        <v>138</v>
      </c>
      <c r="D31" s="13" t="s">
        <v>163</v>
      </c>
      <c r="E31" s="13" t="s">
        <v>133</v>
      </c>
      <c r="F31" s="13" t="s">
        <v>145</v>
      </c>
      <c r="G31" s="14">
        <f t="shared" si="0"/>
        <v>1.9</v>
      </c>
      <c r="L31" t="s">
        <v>163</v>
      </c>
      <c r="M31" s="22">
        <v>1.9</v>
      </c>
    </row>
    <row r="32" spans="1:13" x14ac:dyDescent="0.25">
      <c r="A32" s="13" t="s">
        <v>131</v>
      </c>
      <c r="B32" s="17" t="s">
        <v>148</v>
      </c>
      <c r="C32" s="18" t="s">
        <v>138</v>
      </c>
      <c r="D32" s="13" t="s">
        <v>164</v>
      </c>
      <c r="E32" s="13" t="s">
        <v>156</v>
      </c>
      <c r="F32" s="13" t="s">
        <v>145</v>
      </c>
      <c r="G32" s="14"/>
      <c r="L32" t="s">
        <v>174</v>
      </c>
      <c r="M32" s="22">
        <v>4.25</v>
      </c>
    </row>
    <row r="33" spans="1:13" x14ac:dyDescent="0.25">
      <c r="A33" s="13" t="s">
        <v>131</v>
      </c>
      <c r="B33" s="17" t="s">
        <v>165</v>
      </c>
      <c r="C33" s="18" t="s">
        <v>166</v>
      </c>
      <c r="D33" s="18" t="s">
        <v>139</v>
      </c>
      <c r="E33" s="18" t="s">
        <v>120</v>
      </c>
      <c r="F33" s="18" t="s">
        <v>121</v>
      </c>
      <c r="G33" s="18" t="s">
        <v>122</v>
      </c>
      <c r="L33" t="s">
        <v>175</v>
      </c>
      <c r="M33" s="22">
        <v>2.75</v>
      </c>
    </row>
    <row r="34" spans="1:13" x14ac:dyDescent="0.25">
      <c r="A34" s="16" t="s">
        <v>62</v>
      </c>
      <c r="B34" s="17" t="s">
        <v>165</v>
      </c>
      <c r="C34" s="18" t="s">
        <v>166</v>
      </c>
      <c r="D34" s="13" t="s">
        <v>167</v>
      </c>
      <c r="E34" s="13" t="s">
        <v>168</v>
      </c>
      <c r="F34" s="13" t="s">
        <v>128</v>
      </c>
      <c r="G34" s="14">
        <f t="shared" si="0"/>
        <v>4.25</v>
      </c>
      <c r="L34" t="s">
        <v>176</v>
      </c>
      <c r="M34" s="22">
        <v>1.8</v>
      </c>
    </row>
    <row r="35" spans="1:13" x14ac:dyDescent="0.25">
      <c r="A35" s="13" t="s">
        <v>131</v>
      </c>
      <c r="B35" s="17" t="s">
        <v>165</v>
      </c>
      <c r="C35" s="18" t="s">
        <v>166</v>
      </c>
      <c r="D35" s="13" t="s">
        <v>169</v>
      </c>
      <c r="E35" s="13" t="s">
        <v>170</v>
      </c>
      <c r="F35" s="13" t="s">
        <v>128</v>
      </c>
      <c r="G35" s="14">
        <f t="shared" si="0"/>
        <v>3.75</v>
      </c>
      <c r="L35" t="s">
        <v>180</v>
      </c>
      <c r="M35" s="22">
        <v>3.45</v>
      </c>
    </row>
    <row r="36" spans="1:13" x14ac:dyDescent="0.25">
      <c r="A36" s="13" t="s">
        <v>131</v>
      </c>
      <c r="B36" s="17" t="s">
        <v>165</v>
      </c>
      <c r="C36" s="18" t="s">
        <v>166</v>
      </c>
      <c r="D36" s="13" t="s">
        <v>171</v>
      </c>
      <c r="E36" s="13" t="s">
        <v>172</v>
      </c>
      <c r="F36" s="13" t="s">
        <v>128</v>
      </c>
      <c r="G36" s="14">
        <f t="shared" si="0"/>
        <v>2.1</v>
      </c>
      <c r="L36" t="s">
        <v>181</v>
      </c>
      <c r="M36" s="22">
        <v>3.5</v>
      </c>
    </row>
    <row r="37" spans="1:13" x14ac:dyDescent="0.25">
      <c r="A37" s="13" t="s">
        <v>131</v>
      </c>
      <c r="B37" s="17" t="s">
        <v>165</v>
      </c>
      <c r="C37" s="18" t="s">
        <v>173</v>
      </c>
      <c r="D37" s="18" t="s">
        <v>139</v>
      </c>
      <c r="E37" s="18" t="s">
        <v>120</v>
      </c>
      <c r="F37" s="18" t="s">
        <v>121</v>
      </c>
      <c r="G37" s="18" t="s">
        <v>122</v>
      </c>
    </row>
    <row r="38" spans="1:13" x14ac:dyDescent="0.25">
      <c r="A38" s="16" t="s">
        <v>80</v>
      </c>
      <c r="B38" s="17" t="s">
        <v>165</v>
      </c>
      <c r="C38" s="18" t="s">
        <v>173</v>
      </c>
      <c r="D38" s="13" t="s">
        <v>174</v>
      </c>
      <c r="E38" s="13" t="s">
        <v>168</v>
      </c>
      <c r="F38" s="13" t="s">
        <v>135</v>
      </c>
      <c r="G38" s="14">
        <f t="shared" si="0"/>
        <v>4.25</v>
      </c>
    </row>
    <row r="39" spans="1:13" x14ac:dyDescent="0.25">
      <c r="A39" s="13" t="s">
        <v>131</v>
      </c>
      <c r="B39" s="17" t="s">
        <v>165</v>
      </c>
      <c r="C39" s="18" t="s">
        <v>173</v>
      </c>
      <c r="D39" s="13" t="s">
        <v>175</v>
      </c>
      <c r="E39" s="13" t="s">
        <v>170</v>
      </c>
      <c r="F39" s="13" t="s">
        <v>135</v>
      </c>
      <c r="G39" s="14">
        <f t="shared" si="0"/>
        <v>2.75</v>
      </c>
    </row>
    <row r="40" spans="1:13" x14ac:dyDescent="0.25">
      <c r="A40" s="13" t="s">
        <v>131</v>
      </c>
      <c r="B40" s="17" t="s">
        <v>165</v>
      </c>
      <c r="C40" s="18" t="s">
        <v>173</v>
      </c>
      <c r="D40" s="13" t="s">
        <v>176</v>
      </c>
      <c r="E40" s="13" t="s">
        <v>172</v>
      </c>
      <c r="F40" s="13" t="s">
        <v>135</v>
      </c>
      <c r="G40" s="14">
        <f t="shared" si="0"/>
        <v>1.8</v>
      </c>
    </row>
    <row r="41" spans="1:13" x14ac:dyDescent="0.25">
      <c r="A41" s="13" t="s">
        <v>131</v>
      </c>
      <c r="B41" s="17" t="s">
        <v>177</v>
      </c>
      <c r="C41" s="18" t="s">
        <v>125</v>
      </c>
      <c r="D41" s="18" t="s">
        <v>139</v>
      </c>
      <c r="E41" s="18" t="s">
        <v>120</v>
      </c>
      <c r="F41" s="18" t="s">
        <v>121</v>
      </c>
      <c r="G41" s="18" t="s">
        <v>122</v>
      </c>
    </row>
    <row r="42" spans="1:13" x14ac:dyDescent="0.25">
      <c r="A42" s="13" t="s">
        <v>131</v>
      </c>
      <c r="B42" s="17" t="s">
        <v>177</v>
      </c>
      <c r="C42" s="18" t="s">
        <v>125</v>
      </c>
      <c r="D42" s="13" t="s">
        <v>178</v>
      </c>
      <c r="E42" s="13" t="s">
        <v>156</v>
      </c>
      <c r="F42" s="13" t="s">
        <v>128</v>
      </c>
      <c r="G42" s="14">
        <f t="shared" si="0"/>
        <v>1.8</v>
      </c>
    </row>
    <row r="43" spans="1:13" x14ac:dyDescent="0.25">
      <c r="A43" s="13" t="s">
        <v>131</v>
      </c>
      <c r="B43" s="17" t="s">
        <v>177</v>
      </c>
      <c r="C43" s="18" t="s">
        <v>125</v>
      </c>
      <c r="D43" s="13" t="s">
        <v>179</v>
      </c>
      <c r="E43" s="13" t="s">
        <v>156</v>
      </c>
      <c r="F43" s="13" t="s">
        <v>135</v>
      </c>
      <c r="G43" s="14">
        <f t="shared" si="0"/>
        <v>3.7</v>
      </c>
    </row>
    <row r="44" spans="1:13" x14ac:dyDescent="0.25">
      <c r="A44" s="13" t="s">
        <v>131</v>
      </c>
      <c r="B44" s="17" t="s">
        <v>177</v>
      </c>
      <c r="C44" s="18" t="s">
        <v>138</v>
      </c>
      <c r="D44" s="18" t="s">
        <v>139</v>
      </c>
      <c r="E44" s="18" t="s">
        <v>120</v>
      </c>
      <c r="F44" s="18" t="s">
        <v>121</v>
      </c>
      <c r="G44" s="18" t="s">
        <v>122</v>
      </c>
    </row>
    <row r="45" spans="1:13" x14ac:dyDescent="0.25">
      <c r="A45" s="13" t="s">
        <v>131</v>
      </c>
      <c r="B45" s="17" t="s">
        <v>177</v>
      </c>
      <c r="C45" s="18" t="s">
        <v>138</v>
      </c>
      <c r="D45" s="13" t="s">
        <v>180</v>
      </c>
      <c r="E45" s="13" t="s">
        <v>156</v>
      </c>
      <c r="F45" s="13" t="s">
        <v>141</v>
      </c>
      <c r="G45" s="14">
        <f t="shared" si="0"/>
        <v>3.45</v>
      </c>
    </row>
    <row r="46" spans="1:13" x14ac:dyDescent="0.25">
      <c r="A46" s="13" t="s">
        <v>131</v>
      </c>
      <c r="B46" s="17" t="s">
        <v>177</v>
      </c>
      <c r="C46" s="18" t="s">
        <v>138</v>
      </c>
      <c r="D46" s="13" t="s">
        <v>181</v>
      </c>
      <c r="E46" s="13" t="s">
        <v>156</v>
      </c>
      <c r="F46" s="13" t="s">
        <v>145</v>
      </c>
      <c r="G46" s="14">
        <f t="shared" si="0"/>
        <v>3.5</v>
      </c>
    </row>
  </sheetData>
  <autoFilter ref="A1:G46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3"/>
  <sheetViews>
    <sheetView workbookViewId="0">
      <selection activeCell="D7" sqref="D7"/>
    </sheetView>
  </sheetViews>
  <sheetFormatPr defaultRowHeight="15" x14ac:dyDescent="0.25"/>
  <cols>
    <col min="1" max="1" width="14" customWidth="1"/>
    <col min="2" max="2" width="16.7109375" customWidth="1"/>
    <col min="3" max="7" width="15.140625" customWidth="1"/>
    <col min="8" max="8" width="19.85546875" style="33" bestFit="1" customWidth="1"/>
  </cols>
  <sheetData>
    <row r="1" spans="1:9" x14ac:dyDescent="0.25">
      <c r="A1" s="24" t="s">
        <v>207</v>
      </c>
      <c r="B1" s="24" t="s">
        <v>184</v>
      </c>
      <c r="C1" s="24" t="s">
        <v>185</v>
      </c>
      <c r="D1" s="24" t="s">
        <v>186</v>
      </c>
      <c r="E1" s="24" t="s">
        <v>185</v>
      </c>
      <c r="F1" s="24" t="s">
        <v>187</v>
      </c>
      <c r="G1" s="24" t="s">
        <v>188</v>
      </c>
      <c r="H1" s="30" t="s">
        <v>214</v>
      </c>
      <c r="I1" s="23">
        <v>46143</v>
      </c>
    </row>
    <row r="2" spans="1:9" x14ac:dyDescent="0.25">
      <c r="A2" s="27" t="s">
        <v>11</v>
      </c>
      <c r="B2" s="29" t="s">
        <v>189</v>
      </c>
      <c r="C2" s="29" t="s">
        <v>190</v>
      </c>
      <c r="D2" s="29" t="s">
        <v>191</v>
      </c>
      <c r="E2" s="29" t="s">
        <v>192</v>
      </c>
      <c r="F2" s="29">
        <v>40</v>
      </c>
      <c r="G2" s="25">
        <v>3325</v>
      </c>
      <c r="H2" s="31"/>
    </row>
    <row r="3" spans="1:9" x14ac:dyDescent="0.25">
      <c r="A3" s="27" t="s">
        <v>208</v>
      </c>
      <c r="B3" s="29" t="s">
        <v>193</v>
      </c>
      <c r="C3" s="29" t="s">
        <v>190</v>
      </c>
      <c r="D3" s="29" t="s">
        <v>191</v>
      </c>
      <c r="E3" s="29" t="s">
        <v>192</v>
      </c>
      <c r="F3" s="29">
        <v>40</v>
      </c>
      <c r="G3" s="25">
        <v>3125</v>
      </c>
      <c r="H3" s="31"/>
    </row>
    <row r="4" spans="1:9" x14ac:dyDescent="0.25">
      <c r="A4" s="27" t="s">
        <v>196</v>
      </c>
      <c r="B4" s="29" t="s">
        <v>194</v>
      </c>
      <c r="C4" s="29" t="s">
        <v>195</v>
      </c>
      <c r="D4" s="29" t="s">
        <v>191</v>
      </c>
      <c r="E4" s="29" t="s">
        <v>192</v>
      </c>
      <c r="F4" s="29">
        <v>40</v>
      </c>
      <c r="G4" s="25">
        <v>3295</v>
      </c>
      <c r="H4" s="31"/>
    </row>
    <row r="5" spans="1:9" x14ac:dyDescent="0.25">
      <c r="A5" s="27"/>
      <c r="B5" s="29" t="s">
        <v>197</v>
      </c>
      <c r="C5" s="29" t="s">
        <v>198</v>
      </c>
      <c r="D5" s="29" t="s">
        <v>191</v>
      </c>
      <c r="E5" s="29" t="s">
        <v>192</v>
      </c>
      <c r="F5" s="29">
        <v>40</v>
      </c>
      <c r="G5" s="25">
        <v>2450</v>
      </c>
      <c r="H5" s="31"/>
    </row>
    <row r="6" spans="1:9" x14ac:dyDescent="0.25">
      <c r="A6" s="27" t="s">
        <v>9</v>
      </c>
      <c r="B6" s="29" t="s">
        <v>9</v>
      </c>
      <c r="C6" s="29" t="s">
        <v>190</v>
      </c>
      <c r="D6" s="29" t="s">
        <v>191</v>
      </c>
      <c r="E6" s="29" t="s">
        <v>192</v>
      </c>
      <c r="F6" s="29">
        <v>40</v>
      </c>
      <c r="G6" s="25">
        <v>3325</v>
      </c>
      <c r="H6" s="31">
        <v>23</v>
      </c>
    </row>
    <row r="7" spans="1:9" x14ac:dyDescent="0.25">
      <c r="A7" s="27" t="s">
        <v>201</v>
      </c>
      <c r="B7" s="29" t="s">
        <v>199</v>
      </c>
      <c r="C7" s="29" t="s">
        <v>200</v>
      </c>
      <c r="D7" s="29" t="s">
        <v>191</v>
      </c>
      <c r="E7" s="29" t="s">
        <v>192</v>
      </c>
      <c r="F7" s="29">
        <v>40</v>
      </c>
      <c r="G7" s="25">
        <v>2425</v>
      </c>
      <c r="H7" s="31"/>
    </row>
    <row r="8" spans="1:9" x14ac:dyDescent="0.25">
      <c r="A8" s="27" t="s">
        <v>14</v>
      </c>
      <c r="B8" s="29" t="s">
        <v>202</v>
      </c>
      <c r="C8" s="29" t="s">
        <v>203</v>
      </c>
      <c r="D8" s="29" t="s">
        <v>191</v>
      </c>
      <c r="E8" s="29" t="s">
        <v>192</v>
      </c>
      <c r="F8" s="29">
        <v>40</v>
      </c>
      <c r="G8" s="25">
        <v>3625</v>
      </c>
      <c r="H8" s="31">
        <v>18</v>
      </c>
    </row>
    <row r="9" spans="1:9" x14ac:dyDescent="0.25">
      <c r="A9" s="27" t="s">
        <v>8</v>
      </c>
      <c r="B9" s="29" t="s">
        <v>204</v>
      </c>
      <c r="C9" s="29" t="s">
        <v>205</v>
      </c>
      <c r="D9" s="29" t="s">
        <v>191</v>
      </c>
      <c r="E9" s="29" t="s">
        <v>192</v>
      </c>
      <c r="F9" s="29">
        <v>40</v>
      </c>
      <c r="G9" s="25">
        <v>2625</v>
      </c>
      <c r="H9" s="31">
        <v>17</v>
      </c>
    </row>
    <row r="10" spans="1:9" x14ac:dyDescent="0.25">
      <c r="A10" s="27"/>
      <c r="B10" s="29" t="s">
        <v>206</v>
      </c>
      <c r="C10" s="29" t="s">
        <v>205</v>
      </c>
      <c r="D10" s="29" t="s">
        <v>191</v>
      </c>
      <c r="E10" s="29" t="s">
        <v>192</v>
      </c>
      <c r="F10" s="29">
        <v>40</v>
      </c>
      <c r="G10" s="25">
        <v>2225</v>
      </c>
      <c r="H10" s="31">
        <v>17</v>
      </c>
    </row>
    <row r="11" spans="1:9" x14ac:dyDescent="0.25">
      <c r="A11" s="27" t="s">
        <v>7</v>
      </c>
      <c r="B11" s="27"/>
      <c r="C11" s="27"/>
      <c r="D11" s="27" t="s">
        <v>191</v>
      </c>
      <c r="E11" s="27" t="s">
        <v>192</v>
      </c>
      <c r="F11" s="27">
        <v>40</v>
      </c>
      <c r="G11" s="26">
        <v>0</v>
      </c>
      <c r="H11" s="32"/>
    </row>
    <row r="12" spans="1:9" x14ac:dyDescent="0.25">
      <c r="A12" s="27" t="s">
        <v>10</v>
      </c>
      <c r="B12" s="27"/>
      <c r="C12" s="27"/>
      <c r="D12" s="27" t="s">
        <v>191</v>
      </c>
      <c r="E12" s="27" t="s">
        <v>192</v>
      </c>
      <c r="F12" s="27">
        <v>40</v>
      </c>
      <c r="G12" s="26">
        <v>0</v>
      </c>
      <c r="H12" s="32"/>
    </row>
    <row r="13" spans="1:9" x14ac:dyDescent="0.25">
      <c r="A13" s="27" t="s">
        <v>13</v>
      </c>
      <c r="B13" s="27" t="s">
        <v>212</v>
      </c>
      <c r="C13" s="27" t="s">
        <v>211</v>
      </c>
      <c r="D13" s="27" t="s">
        <v>13</v>
      </c>
      <c r="E13" s="27" t="s">
        <v>209</v>
      </c>
      <c r="F13" s="28" t="s">
        <v>210</v>
      </c>
      <c r="G13" s="26">
        <v>5000</v>
      </c>
      <c r="H13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Current Pricing</vt:lpstr>
      <vt:lpstr>Stats</vt:lpstr>
      <vt:lpstr>Merrick</vt:lpstr>
      <vt:lpstr>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 Utash</cp:lastModifiedBy>
  <dcterms:created xsi:type="dcterms:W3CDTF">2026-04-13T16:11:35Z</dcterms:created>
  <dcterms:modified xsi:type="dcterms:W3CDTF">2026-05-19T18:02:37Z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0x010100DCF513837467E64E89D611AD1F991EBD</vt:lpwstr>
  </property>
</Properties>
</file>