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8_{5FF10358-99A8-4247-BC1C-46186A0DE7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urrent Pricing" sheetId="1" r:id="rId1"/>
    <sheet name="Merrick" sheetId="2" r:id="rId2"/>
    <sheet name="Freight" sheetId="3" r:id="rId3"/>
  </sheets>
  <definedNames>
    <definedName name="_xlnm._FilterDatabase" localSheetId="0" hidden="1">'Current Pricing'!$A$1:$O$75</definedName>
    <definedName name="_xlnm._FilterDatabase" localSheetId="1" hidden="1">Merrick!$A$1:$G$46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1" l="1"/>
  <c r="M75" i="1"/>
  <c r="M72" i="1"/>
  <c r="M73" i="1"/>
  <c r="M69" i="1"/>
  <c r="M68" i="1"/>
  <c r="M71" i="1"/>
  <c r="M70" i="1"/>
  <c r="M65" i="1"/>
  <c r="M64" i="1"/>
  <c r="M67" i="1"/>
  <c r="M66" i="1"/>
  <c r="M58" i="1"/>
  <c r="M56" i="1"/>
  <c r="M55" i="1"/>
  <c r="M63" i="1"/>
  <c r="M62" i="1"/>
  <c r="M60" i="1"/>
  <c r="M59" i="1"/>
  <c r="M54" i="1"/>
  <c r="M51" i="1"/>
  <c r="M50" i="1"/>
  <c r="M53" i="1"/>
  <c r="M52" i="1"/>
  <c r="M44" i="1"/>
  <c r="M42" i="1"/>
  <c r="M45" i="1"/>
  <c r="M41" i="1"/>
  <c r="M43" i="1"/>
  <c r="M47" i="1"/>
  <c r="M46" i="1"/>
  <c r="M49" i="1"/>
  <c r="M48" i="1"/>
  <c r="M39" i="1"/>
  <c r="M38" i="1"/>
  <c r="M40" i="1"/>
  <c r="M37" i="1"/>
  <c r="M35" i="1"/>
  <c r="M36" i="1"/>
  <c r="M30" i="1"/>
  <c r="M29" i="1"/>
  <c r="M27" i="1"/>
  <c r="M22" i="1"/>
  <c r="M21" i="1"/>
  <c r="M19" i="1"/>
  <c r="M34" i="1"/>
  <c r="M33" i="1"/>
  <c r="M31" i="1"/>
  <c r="M26" i="1"/>
  <c r="M25" i="1"/>
  <c r="M23" i="1"/>
  <c r="M14" i="1"/>
  <c r="M13" i="1"/>
  <c r="M11" i="1"/>
  <c r="M7" i="1"/>
  <c r="M5" i="1"/>
  <c r="M18" i="1"/>
  <c r="M17" i="1"/>
  <c r="M15" i="1"/>
  <c r="M10" i="1"/>
  <c r="M8" i="1"/>
  <c r="M4" i="1"/>
  <c r="M3" i="1"/>
</calcChain>
</file>

<file path=xl/sharedStrings.xml><?xml version="1.0" encoding="utf-8"?>
<sst xmlns="http://schemas.openxmlformats.org/spreadsheetml/2006/main" count="798" uniqueCount="210">
  <si>
    <t>Item Number</t>
  </si>
  <si>
    <t xml:space="preserve"> Thickness </t>
  </si>
  <si>
    <t xml:space="preserve"> Width </t>
  </si>
  <si>
    <t xml:space="preserve"> Species </t>
  </si>
  <si>
    <t xml:space="preserve"> Grade/Cut </t>
  </si>
  <si>
    <t xml:space="preserve"> Edge </t>
  </si>
  <si>
    <t>Appalachian</t>
  </si>
  <si>
    <t>Macon</t>
  </si>
  <si>
    <t>Indiana</t>
  </si>
  <si>
    <t>Lebanon</t>
  </si>
  <si>
    <t>Dayspring</t>
  </si>
  <si>
    <t>Merrick</t>
  </si>
  <si>
    <t>Merrick From Sheet</t>
  </si>
  <si>
    <t>Orillia</t>
  </si>
  <si>
    <t>Mullican</t>
  </si>
  <si>
    <t>DF512PI</t>
  </si>
  <si>
    <t xml:space="preserve"> 1" </t>
  </si>
  <si>
    <t xml:space="preserve"> 6" </t>
  </si>
  <si>
    <t xml:space="preserve"> Ipe </t>
  </si>
  <si>
    <t xml:space="preserve">                              -  </t>
  </si>
  <si>
    <t xml:space="preserve">              -  </t>
  </si>
  <si>
    <t>DF512PIL</t>
  </si>
  <si>
    <t>RH112QRSNB-15</t>
  </si>
  <si>
    <t xml:space="preserve"> 1/2" </t>
  </si>
  <si>
    <t xml:space="preserve"> 1-1/2" </t>
  </si>
  <si>
    <t xml:space="preserve"> Red Oak </t>
  </si>
  <si>
    <t xml:space="preserve"> Rift &amp; Quarter </t>
  </si>
  <si>
    <t>RH112QRSNB-24</t>
  </si>
  <si>
    <t>RH112QRSNB-15/
RH112QRSNB-24</t>
  </si>
  <si>
    <t>RH112SRSNB</t>
  </si>
  <si>
    <t xml:space="preserve"> Select </t>
  </si>
  <si>
    <t>RH112SRSNB-15</t>
  </si>
  <si>
    <t>RH112SRSNB-24</t>
  </si>
  <si>
    <t>RH112SRSNB/
RH112SRSNB-15/
RH112SRSNB-24</t>
  </si>
  <si>
    <t>RH112QOSNB-15</t>
  </si>
  <si>
    <t xml:space="preserve"> White Oak </t>
  </si>
  <si>
    <t>RH112QOSNB-24</t>
  </si>
  <si>
    <t>RH112QOSNB-15/
RH112QOSNB-24</t>
  </si>
  <si>
    <t>RH112SOSNB</t>
  </si>
  <si>
    <t>RH112SOSNB-15</t>
  </si>
  <si>
    <t>RH112SOSNB-24</t>
  </si>
  <si>
    <t>RH112SOSNB/
RH112SOSNB-15/
RH112SOSNB-24</t>
  </si>
  <si>
    <t>RH2QRSNB</t>
  </si>
  <si>
    <t xml:space="preserve"> 2" </t>
  </si>
  <si>
    <t>RH2QRSNB-20</t>
  </si>
  <si>
    <t>RH2QRSNB-24</t>
  </si>
  <si>
    <t>RH2QRSNB/
RH2QRSNB-20/
RH2QRSNB-24</t>
  </si>
  <si>
    <t>RH2SRS</t>
  </si>
  <si>
    <t>RH2SRSNB</t>
  </si>
  <si>
    <t>RH2SRSNB-20</t>
  </si>
  <si>
    <t>RH2SRS/
RH2SRSNB/
RH2SRSNB-20</t>
  </si>
  <si>
    <t>RH2QOSNB</t>
  </si>
  <si>
    <t>RH2QOSNB-20</t>
  </si>
  <si>
    <t>RH2QOSNB-24</t>
  </si>
  <si>
    <t>RH2QOSNB/
RH2QOSNB-20/
RH2QOSNB-24</t>
  </si>
  <si>
    <t>RH2SOSNB</t>
  </si>
  <si>
    <t>RH2SOSNB-20</t>
  </si>
  <si>
    <t>RH2SOSNB-24</t>
  </si>
  <si>
    <t>RH2SOSNB/
RH2SOSNB-20/
RH2SOSNB-24</t>
  </si>
  <si>
    <t>RQ112SRSNB</t>
  </si>
  <si>
    <t xml:space="preserve"> 3/4" </t>
  </si>
  <si>
    <t>RQ112SOSNB</t>
  </si>
  <si>
    <t>RQ214FMS</t>
  </si>
  <si>
    <t xml:space="preserve"> 2-1/4" </t>
  </si>
  <si>
    <t xml:space="preserve"> Maple </t>
  </si>
  <si>
    <t xml:space="preserve"> 1st/Select </t>
  </si>
  <si>
    <t>RQ214SRSSP</t>
  </si>
  <si>
    <t>RQ214QOSSP</t>
  </si>
  <si>
    <t>RQ214SOSSP</t>
  </si>
  <si>
    <t xml:space="preserve"> Select &amp; Better </t>
  </si>
  <si>
    <t>RQ3SRB</t>
  </si>
  <si>
    <t xml:space="preserve"> 3" </t>
  </si>
  <si>
    <t xml:space="preserve"> Bevel </t>
  </si>
  <si>
    <t>RQ3SRS</t>
  </si>
  <si>
    <t xml:space="preserve"> Square </t>
  </si>
  <si>
    <t>RQ3SOB</t>
  </si>
  <si>
    <t>RQ3SOS</t>
  </si>
  <si>
    <t>RQ314SDS</t>
  </si>
  <si>
    <t xml:space="preserve"> 3-1/4" </t>
  </si>
  <si>
    <t xml:space="preserve"> Douglas Fir </t>
  </si>
  <si>
    <t>RQ314FMS</t>
  </si>
  <si>
    <t>RQ314SRSSP</t>
  </si>
  <si>
    <t>RQ314QOSSP</t>
  </si>
  <si>
    <t>RQ314SOSSP</t>
  </si>
  <si>
    <t>RQ4SRB</t>
  </si>
  <si>
    <t xml:space="preserve"> 4" </t>
  </si>
  <si>
    <t>RQ4SRS</t>
  </si>
  <si>
    <t>RQ4SOB</t>
  </si>
  <si>
    <t>RQ4SOS</t>
  </si>
  <si>
    <t>RQ5FMS</t>
  </si>
  <si>
    <t xml:space="preserve"> 5" </t>
  </si>
  <si>
    <t xml:space="preserve"> 1st </t>
  </si>
  <si>
    <t>RQ5SRB</t>
  </si>
  <si>
    <t>RQ5SRS</t>
  </si>
  <si>
    <t>RQ5SRSI</t>
  </si>
  <si>
    <t>RQ5SRS/
RQ5SRSI</t>
  </si>
  <si>
    <t>RQ5SWS</t>
  </si>
  <si>
    <t xml:space="preserve"> Walnut </t>
  </si>
  <si>
    <t>RQ5SOB</t>
  </si>
  <si>
    <t>RQ5SOS</t>
  </si>
  <si>
    <t>RQ5SOSD</t>
  </si>
  <si>
    <t>RQ5SOS/
RQ5SOSD</t>
  </si>
  <si>
    <t>RQ6SRB</t>
  </si>
  <si>
    <t>RQ6SRS</t>
  </si>
  <si>
    <t>RQ6SOB</t>
  </si>
  <si>
    <t>RQ6SOS</t>
  </si>
  <si>
    <t>RQ7SRB</t>
  </si>
  <si>
    <t xml:space="preserve"> 7" </t>
  </si>
  <si>
    <t>RQ7SRS</t>
  </si>
  <si>
    <t>RQ7SOB</t>
  </si>
  <si>
    <t>RQ7SOS</t>
  </si>
  <si>
    <t>RT112SRS</t>
  </si>
  <si>
    <t xml:space="preserve"> 3/8" </t>
  </si>
  <si>
    <t>RT112SOS</t>
  </si>
  <si>
    <t>RT2SRSNB-24</t>
  </si>
  <si>
    <t>RT2SOSNB-24</t>
  </si>
  <si>
    <t>OMP Item Number</t>
  </si>
  <si>
    <t>Species</t>
  </si>
  <si>
    <t>Category</t>
  </si>
  <si>
    <t>Merrick Item Number</t>
  </si>
  <si>
    <t>Grade</t>
  </si>
  <si>
    <t>Width</t>
  </si>
  <si>
    <t>Price</t>
  </si>
  <si>
    <t>Last Updated</t>
  </si>
  <si>
    <t>Red Oak</t>
  </si>
  <si>
    <t>STRIP PRODUCTS</t>
  </si>
  <si>
    <t>ROSB214MH</t>
  </si>
  <si>
    <t>SEL/BTR</t>
  </si>
  <si>
    <t>2 ¼"</t>
  </si>
  <si>
    <t>4.13.2026</t>
  </si>
  <si>
    <t>RO1C214MH</t>
  </si>
  <si>
    <t>1 COM</t>
  </si>
  <si>
    <t>NONE</t>
  </si>
  <si>
    <t>RO2C214MH</t>
  </si>
  <si>
    <t>2 COM</t>
  </si>
  <si>
    <t>ROSB314MH</t>
  </si>
  <si>
    <t>3 ¼"</t>
  </si>
  <si>
    <t>RO1C314MH</t>
  </si>
  <si>
    <t>RO2C314MH</t>
  </si>
  <si>
    <t>PLANK PRODUCTS</t>
  </si>
  <si>
    <t>Item</t>
  </si>
  <si>
    <t>ROSB4MH</t>
  </si>
  <si>
    <t>4"</t>
  </si>
  <si>
    <t>RO1C4MH</t>
  </si>
  <si>
    <t>RO2C4MH</t>
  </si>
  <si>
    <t>ROSB5MH</t>
  </si>
  <si>
    <t>5"</t>
  </si>
  <si>
    <t>RO1C5MH</t>
  </si>
  <si>
    <t>RO2C5MH</t>
  </si>
  <si>
    <t>White Oak</t>
  </si>
  <si>
    <t>WOSB214MH</t>
  </si>
  <si>
    <t>WO1C214MH</t>
  </si>
  <si>
    <t>WO2C214MH</t>
  </si>
  <si>
    <t>WOSB314MH</t>
  </si>
  <si>
    <t>WO1C314MH</t>
  </si>
  <si>
    <t>WO2C314MH</t>
  </si>
  <si>
    <t>WOMR314N</t>
  </si>
  <si>
    <t>MILL RUN</t>
  </si>
  <si>
    <t>WOSB4MH</t>
  </si>
  <si>
    <t>WO1C4MH</t>
  </si>
  <si>
    <t>WO2C4MH</t>
  </si>
  <si>
    <t>WOMR4MH</t>
  </si>
  <si>
    <t>WOSB5MH</t>
  </si>
  <si>
    <t>WO1C5MH</t>
  </si>
  <si>
    <t>WO2C5MH</t>
  </si>
  <si>
    <t>WOMR5MH</t>
  </si>
  <si>
    <t>Hard Maple</t>
  </si>
  <si>
    <t>2 1/4"</t>
  </si>
  <si>
    <t>HM1ST2SF</t>
  </si>
  <si>
    <t>1ST</t>
  </si>
  <si>
    <t>HM2B2SF</t>
  </si>
  <si>
    <t>2ND &amp; BTR</t>
  </si>
  <si>
    <t>HM3D2SF</t>
  </si>
  <si>
    <t>3RD</t>
  </si>
  <si>
    <t>3 1/4"</t>
  </si>
  <si>
    <t>HM1ST314SF</t>
  </si>
  <si>
    <t>HM2B314SF</t>
  </si>
  <si>
    <t>HM3D314SF</t>
  </si>
  <si>
    <t>Hickory</t>
  </si>
  <si>
    <t>HIMR2N</t>
  </si>
  <si>
    <t>HIMR314MH</t>
  </si>
  <si>
    <t>HIMR4MH</t>
  </si>
  <si>
    <t>HIMR5MH</t>
  </si>
  <si>
    <t>Bevel</t>
  </si>
  <si>
    <t xml:space="preserve">
RQ5SWB</t>
  </si>
  <si>
    <t>Origin</t>
  </si>
  <si>
    <t>ST</t>
  </si>
  <si>
    <t>Destination</t>
  </si>
  <si>
    <t>Size</t>
  </si>
  <si>
    <t>Rate</t>
  </si>
  <si>
    <t>Burnside</t>
  </si>
  <si>
    <t>KY</t>
  </si>
  <si>
    <t>Van Nuys</t>
  </si>
  <si>
    <t>CA</t>
  </si>
  <si>
    <t>Campbellsville</t>
  </si>
  <si>
    <t>Cook</t>
  </si>
  <si>
    <t>MN</t>
  </si>
  <si>
    <t>Ashawa Bay</t>
  </si>
  <si>
    <t>Hortonville</t>
  </si>
  <si>
    <t>WI</t>
  </si>
  <si>
    <t>Middlefield</t>
  </si>
  <si>
    <t>OH</t>
  </si>
  <si>
    <t>Sheoga</t>
  </si>
  <si>
    <t>Ronceverte</t>
  </si>
  <si>
    <t>WV</t>
  </si>
  <si>
    <t>Spencer</t>
  </si>
  <si>
    <t>IN</t>
  </si>
  <si>
    <t>Valparaiso</t>
  </si>
  <si>
    <t>Vendor</t>
  </si>
  <si>
    <t>Yesteryear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</si>
</sst>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42424"/>
      <name val="Calibri"/>
      <family val="2"/>
      <scheme val="minor"/>
    </font>
    <font>
      <sz val="11"/>
      <color rgb="FF24242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2" borderId="5" xfId="0" applyNumberFormat="1" applyFont="1" applyFill="1" applyBorder="1"/>
    <xf numFmtId="164" fontId="2" fillId="0" borderId="5" xfId="0" applyNumberFormat="1" applyFont="1" applyBorder="1"/>
    <xf numFmtId="164" fontId="0" fillId="0" borderId="0" xfId="0" applyNumberFormat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5" xfId="0" applyFont="1" applyFill="1" applyBorder="1"/>
    <xf numFmtId="0" fontId="2" fillId="5" borderId="3" xfId="0" applyFont="1" applyFill="1" applyBorder="1"/>
    <xf numFmtId="0" fontId="3" fillId="5" borderId="5" xfId="0" applyFont="1" applyFill="1" applyBorder="1"/>
    <xf numFmtId="0" fontId="0" fillId="0" borderId="5" xfId="0" applyBorder="1"/>
    <xf numFmtId="8" fontId="0" fillId="0" borderId="5" xfId="0" applyNumberFormat="1" applyBorder="1"/>
    <xf numFmtId="0" fontId="3" fillId="0" borderId="0" xfId="0" applyFont="1"/>
    <xf numFmtId="0" fontId="2" fillId="3" borderId="1" xfId="0" applyFont="1" applyFill="1" applyBorder="1"/>
    <xf numFmtId="0" fontId="4" fillId="6" borderId="5" xfId="0" applyFont="1" applyFill="1" applyBorder="1"/>
    <xf numFmtId="0" fontId="3" fillId="7" borderId="5" xfId="0" applyFont="1" applyFill="1" applyBorder="1"/>
    <xf numFmtId="0" fontId="2" fillId="8" borderId="3" xfId="0" applyFont="1" applyFill="1" applyBorder="1"/>
    <xf numFmtId="0" fontId="2" fillId="9" borderId="3" xfId="0" applyFont="1" applyFill="1" applyBorder="1" applyAlignment="1">
      <alignment wrapText="1"/>
    </xf>
    <xf numFmtId="0" fontId="5" fillId="10" borderId="8" xfId="0" applyFont="1" applyFill="1" applyBorder="1"/>
    <xf numFmtId="0" fontId="6" fillId="11" borderId="8" xfId="0" applyFont="1" applyFill="1" applyBorder="1"/>
    <xf numFmtId="6" fontId="6" fillId="11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workbookViewId="0">
      <pane xSplit="6" ySplit="1" topLeftCell="G44" activePane="bottomRight" state="frozen"/>
      <selection pane="topRight" activeCell="G1" sqref="G1"/>
      <selection pane="bottomLeft" activeCell="A2" sqref="A2"/>
      <selection pane="bottomRight" activeCell="F57" sqref="F57"/>
    </sheetView>
  </sheetViews>
  <sheetFormatPr defaultRowHeight="15" x14ac:dyDescent="0.25"/>
  <cols>
    <col min="1" max="1" width="19.85546875" customWidth="1"/>
    <col min="2" max="2" width="13" bestFit="1" customWidth="1"/>
    <col min="3" max="3" width="9.85546875" bestFit="1" customWidth="1"/>
    <col min="4" max="4" width="11.7109375" bestFit="1" customWidth="1"/>
    <col min="5" max="5" width="17.5703125" bestFit="1" customWidth="1"/>
    <col min="6" max="6" width="9.5703125" bestFit="1" customWidth="1"/>
    <col min="7" max="7" width="15.5703125" style="7" bestFit="1" customWidth="1"/>
    <col min="8" max="8" width="10.5703125" style="7" bestFit="1" customWidth="1"/>
    <col min="9" max="9" width="11" style="7" bestFit="1" customWidth="1"/>
    <col min="10" max="10" width="12" style="7" bestFit="1" customWidth="1"/>
    <col min="11" max="11" width="13.28515625" style="7" bestFit="1" customWidth="1"/>
    <col min="12" max="12" width="11.28515625" style="7" bestFit="1" customWidth="1"/>
    <col min="13" max="13" width="22.28515625" style="7" bestFit="1" customWidth="1"/>
    <col min="14" max="14" width="9.7109375" style="7" bestFit="1" customWidth="1"/>
    <col min="15" max="15" width="12.140625" style="7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s="11" t="s">
        <v>184</v>
      </c>
      <c r="B2" s="8" t="s">
        <v>60</v>
      </c>
      <c r="C2" s="8" t="s">
        <v>90</v>
      </c>
      <c r="D2" s="8" t="s">
        <v>97</v>
      </c>
      <c r="E2" s="9" t="s">
        <v>69</v>
      </c>
      <c r="F2" s="10" t="s">
        <v>183</v>
      </c>
      <c r="G2" s="6"/>
      <c r="H2" s="6"/>
      <c r="I2" s="6">
        <v>7.65</v>
      </c>
      <c r="J2" s="6"/>
      <c r="K2" s="6"/>
      <c r="L2" s="6"/>
      <c r="M2" s="6"/>
      <c r="N2" s="6"/>
      <c r="O2" s="6"/>
    </row>
    <row r="3" spans="1:15" x14ac:dyDescent="0.25">
      <c r="A3" s="11" t="s">
        <v>15</v>
      </c>
      <c r="B3" s="8" t="s">
        <v>16</v>
      </c>
      <c r="C3" s="8" t="s">
        <v>17</v>
      </c>
      <c r="D3" s="8" t="s">
        <v>18</v>
      </c>
      <c r="E3" s="9" t="s">
        <v>19</v>
      </c>
      <c r="F3" s="10" t="s">
        <v>20</v>
      </c>
      <c r="G3" s="6"/>
      <c r="H3" s="6"/>
      <c r="I3" s="6"/>
      <c r="J3" s="6"/>
      <c r="K3" s="6"/>
      <c r="L3" s="6"/>
      <c r="M3" s="6" t="e">
        <f>VLOOKUP(A3,Merrick!$A$2:$G$46,7,FALSE)</f>
        <v>#N/A</v>
      </c>
      <c r="N3" s="6"/>
      <c r="O3" s="6"/>
    </row>
    <row r="4" spans="1:15" x14ac:dyDescent="0.25">
      <c r="A4" s="11" t="s">
        <v>21</v>
      </c>
      <c r="B4" s="8" t="s">
        <v>16</v>
      </c>
      <c r="C4" s="8" t="s">
        <v>17</v>
      </c>
      <c r="D4" s="8" t="s">
        <v>18</v>
      </c>
      <c r="E4" s="9" t="s">
        <v>19</v>
      </c>
      <c r="F4" s="10" t="s">
        <v>20</v>
      </c>
      <c r="G4" s="6"/>
      <c r="H4" s="6"/>
      <c r="I4" s="6"/>
      <c r="J4" s="6"/>
      <c r="K4" s="6"/>
      <c r="L4" s="6"/>
      <c r="M4" s="6" t="e">
        <f>VLOOKUP(A4,Merrick!$A$2:$G$46,7,FALSE)</f>
        <v>#N/A</v>
      </c>
      <c r="N4" s="6"/>
      <c r="O4" s="6"/>
    </row>
    <row r="5" spans="1:15" x14ac:dyDescent="0.25">
      <c r="A5" s="19" t="s">
        <v>34</v>
      </c>
      <c r="B5" s="8" t="s">
        <v>23</v>
      </c>
      <c r="C5" s="8" t="s">
        <v>24</v>
      </c>
      <c r="D5" s="8" t="s">
        <v>35</v>
      </c>
      <c r="E5" s="9" t="s">
        <v>26</v>
      </c>
      <c r="F5" s="10" t="s">
        <v>20</v>
      </c>
      <c r="G5" s="6"/>
      <c r="H5" s="6"/>
      <c r="I5" s="6"/>
      <c r="J5" s="6"/>
      <c r="K5" s="6"/>
      <c r="L5" s="6"/>
      <c r="M5" s="6" t="e">
        <f>VLOOKUP(A5,Merrick!$A$2:$G$46,7,FALSE)</f>
        <v>#N/A</v>
      </c>
      <c r="N5" s="6"/>
      <c r="O5" s="6"/>
    </row>
    <row r="6" spans="1:15" ht="30.75" customHeight="1" x14ac:dyDescent="0.25">
      <c r="A6" s="20" t="s">
        <v>37</v>
      </c>
      <c r="B6" s="8" t="s">
        <v>23</v>
      </c>
      <c r="C6" s="8" t="s">
        <v>24</v>
      </c>
      <c r="D6" s="8" t="s">
        <v>35</v>
      </c>
      <c r="E6" s="9" t="s">
        <v>26</v>
      </c>
      <c r="F6" s="10" t="s">
        <v>20</v>
      </c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9" t="s">
        <v>36</v>
      </c>
      <c r="B7" s="8" t="s">
        <v>23</v>
      </c>
      <c r="C7" s="8" t="s">
        <v>24</v>
      </c>
      <c r="D7" s="8" t="s">
        <v>35</v>
      </c>
      <c r="E7" s="9" t="s">
        <v>26</v>
      </c>
      <c r="F7" s="10" t="s">
        <v>20</v>
      </c>
      <c r="G7" s="6"/>
      <c r="H7" s="6"/>
      <c r="I7" s="6"/>
      <c r="J7" s="6"/>
      <c r="K7" s="6"/>
      <c r="L7" s="6"/>
      <c r="M7" s="6" t="e">
        <f>VLOOKUP(A7,Merrick!$A$2:$G$46,7,FALSE)</f>
        <v>#N/A</v>
      </c>
      <c r="N7" s="6"/>
      <c r="O7" s="6"/>
    </row>
    <row r="8" spans="1:15" x14ac:dyDescent="0.25">
      <c r="A8" s="19" t="s">
        <v>22</v>
      </c>
      <c r="B8" s="8" t="s">
        <v>23</v>
      </c>
      <c r="C8" s="8" t="s">
        <v>24</v>
      </c>
      <c r="D8" s="8" t="s">
        <v>25</v>
      </c>
      <c r="E8" s="9" t="s">
        <v>26</v>
      </c>
      <c r="F8" s="10" t="s">
        <v>20</v>
      </c>
      <c r="G8" s="6"/>
      <c r="H8" s="6"/>
      <c r="I8" s="6"/>
      <c r="J8" s="6"/>
      <c r="K8" s="6"/>
      <c r="L8" s="6"/>
      <c r="M8" s="6" t="e">
        <f>VLOOKUP(A8,Merrick!$A$2:$G$46,7,FALSE)</f>
        <v>#N/A</v>
      </c>
      <c r="N8" s="6"/>
      <c r="O8" s="6"/>
    </row>
    <row r="9" spans="1:15" ht="30" x14ac:dyDescent="0.25">
      <c r="A9" s="20" t="s">
        <v>28</v>
      </c>
      <c r="B9" s="8" t="s">
        <v>23</v>
      </c>
      <c r="C9" s="8" t="s">
        <v>24</v>
      </c>
      <c r="D9" s="8" t="s">
        <v>25</v>
      </c>
      <c r="E9" s="9" t="s">
        <v>26</v>
      </c>
      <c r="F9" s="10" t="s">
        <v>20</v>
      </c>
      <c r="G9" s="6"/>
      <c r="H9" s="6"/>
      <c r="I9" s="6"/>
      <c r="J9" s="6"/>
      <c r="K9" s="6"/>
      <c r="L9" s="6"/>
      <c r="M9" s="6"/>
      <c r="N9" s="6"/>
      <c r="O9" s="6"/>
    </row>
    <row r="10" spans="1:15" ht="45.75" customHeight="1" x14ac:dyDescent="0.25">
      <c r="A10" s="19" t="s">
        <v>27</v>
      </c>
      <c r="B10" s="8" t="s">
        <v>23</v>
      </c>
      <c r="C10" s="8" t="s">
        <v>24</v>
      </c>
      <c r="D10" s="8" t="s">
        <v>25</v>
      </c>
      <c r="E10" s="9" t="s">
        <v>26</v>
      </c>
      <c r="F10" s="10" t="s">
        <v>20</v>
      </c>
      <c r="G10" s="6"/>
      <c r="H10" s="6"/>
      <c r="I10" s="6"/>
      <c r="J10" s="6"/>
      <c r="K10" s="6"/>
      <c r="L10" s="6"/>
      <c r="M10" s="6" t="e">
        <f>VLOOKUP(A10,Merrick!$A$2:$G$46,7,FALSE)</f>
        <v>#N/A</v>
      </c>
      <c r="N10" s="6"/>
      <c r="O10" s="6"/>
    </row>
    <row r="11" spans="1:15" x14ac:dyDescent="0.25">
      <c r="A11" s="19" t="s">
        <v>38</v>
      </c>
      <c r="B11" s="8" t="s">
        <v>23</v>
      </c>
      <c r="C11" s="8" t="s">
        <v>24</v>
      </c>
      <c r="D11" s="8" t="s">
        <v>35</v>
      </c>
      <c r="E11" s="9" t="s">
        <v>30</v>
      </c>
      <c r="F11" s="10" t="s">
        <v>20</v>
      </c>
      <c r="G11" s="6"/>
      <c r="H11" s="6"/>
      <c r="I11" s="6"/>
      <c r="J11" s="6"/>
      <c r="K11" s="6"/>
      <c r="L11" s="6"/>
      <c r="M11" s="6" t="e">
        <f>VLOOKUP(A11,Merrick!$A$2:$G$46,7,FALSE)</f>
        <v>#N/A</v>
      </c>
      <c r="N11" s="6"/>
      <c r="O11" s="6"/>
    </row>
    <row r="12" spans="1:15" ht="45" x14ac:dyDescent="0.25">
      <c r="A12" s="20" t="s">
        <v>41</v>
      </c>
      <c r="B12" s="8" t="s">
        <v>23</v>
      </c>
      <c r="C12" s="8" t="s">
        <v>24</v>
      </c>
      <c r="D12" s="8" t="s">
        <v>35</v>
      </c>
      <c r="E12" s="9" t="s">
        <v>30</v>
      </c>
      <c r="F12" s="10" t="s">
        <v>20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30.75" customHeight="1" x14ac:dyDescent="0.25">
      <c r="A13" s="19" t="s">
        <v>39</v>
      </c>
      <c r="B13" s="8" t="s">
        <v>23</v>
      </c>
      <c r="C13" s="8" t="s">
        <v>24</v>
      </c>
      <c r="D13" s="8" t="s">
        <v>35</v>
      </c>
      <c r="E13" s="9" t="s">
        <v>30</v>
      </c>
      <c r="F13" s="10" t="s">
        <v>20</v>
      </c>
      <c r="G13" s="6"/>
      <c r="H13" s="6"/>
      <c r="I13" s="6"/>
      <c r="J13" s="6"/>
      <c r="K13" s="6"/>
      <c r="L13" s="6"/>
      <c r="M13" s="6" t="e">
        <f>VLOOKUP(A13,Merrick!$A$2:$G$46,7,FALSE)</f>
        <v>#N/A</v>
      </c>
      <c r="N13" s="6"/>
      <c r="O13" s="6"/>
    </row>
    <row r="14" spans="1:15" x14ac:dyDescent="0.25">
      <c r="A14" s="19" t="s">
        <v>40</v>
      </c>
      <c r="B14" s="8" t="s">
        <v>23</v>
      </c>
      <c r="C14" s="8" t="s">
        <v>24</v>
      </c>
      <c r="D14" s="8" t="s">
        <v>35</v>
      </c>
      <c r="E14" s="9" t="s">
        <v>30</v>
      </c>
      <c r="F14" s="10" t="s">
        <v>20</v>
      </c>
      <c r="G14" s="6"/>
      <c r="H14" s="6"/>
      <c r="I14" s="6"/>
      <c r="J14" s="6"/>
      <c r="K14" s="6">
        <v>3.95</v>
      </c>
      <c r="L14" s="6"/>
      <c r="M14" s="6" t="e">
        <f>VLOOKUP(A14,Merrick!$A$2:$G$46,7,FALSE)</f>
        <v>#N/A</v>
      </c>
      <c r="N14" s="6"/>
      <c r="O14" s="6"/>
    </row>
    <row r="15" spans="1:15" x14ac:dyDescent="0.25">
      <c r="A15" s="19" t="s">
        <v>29</v>
      </c>
      <c r="B15" s="8" t="s">
        <v>23</v>
      </c>
      <c r="C15" s="8" t="s">
        <v>24</v>
      </c>
      <c r="D15" s="8" t="s">
        <v>25</v>
      </c>
      <c r="E15" s="9" t="s">
        <v>30</v>
      </c>
      <c r="F15" s="10" t="s">
        <v>20</v>
      </c>
      <c r="G15" s="6"/>
      <c r="H15" s="6"/>
      <c r="I15" s="6"/>
      <c r="J15" s="6"/>
      <c r="K15" s="6"/>
      <c r="L15" s="6"/>
      <c r="M15" s="6" t="e">
        <f>VLOOKUP(A15,Merrick!$A$2:$G$46,7,FALSE)</f>
        <v>#N/A</v>
      </c>
      <c r="N15" s="6"/>
      <c r="O15" s="6"/>
    </row>
    <row r="16" spans="1:15" ht="45" x14ac:dyDescent="0.25">
      <c r="A16" s="20" t="s">
        <v>33</v>
      </c>
      <c r="B16" s="8" t="s">
        <v>23</v>
      </c>
      <c r="C16" s="8" t="s">
        <v>24</v>
      </c>
      <c r="D16" s="8" t="s">
        <v>25</v>
      </c>
      <c r="E16" s="9" t="s">
        <v>30</v>
      </c>
      <c r="F16" s="10" t="s">
        <v>20</v>
      </c>
      <c r="G16" s="6"/>
      <c r="H16" s="6"/>
      <c r="I16" s="6"/>
      <c r="J16" s="6"/>
      <c r="K16" s="6">
        <v>2.95</v>
      </c>
      <c r="L16" s="6"/>
      <c r="M16" s="6"/>
      <c r="N16" s="6"/>
      <c r="O16" s="6"/>
    </row>
    <row r="17" spans="1:15" ht="45.75" customHeight="1" x14ac:dyDescent="0.25">
      <c r="A17" s="19" t="s">
        <v>31</v>
      </c>
      <c r="B17" s="8" t="s">
        <v>23</v>
      </c>
      <c r="C17" s="8" t="s">
        <v>24</v>
      </c>
      <c r="D17" s="8" t="s">
        <v>25</v>
      </c>
      <c r="E17" s="9" t="s">
        <v>30</v>
      </c>
      <c r="F17" s="10" t="s">
        <v>20</v>
      </c>
      <c r="G17" s="6"/>
      <c r="H17" s="6"/>
      <c r="I17" s="6"/>
      <c r="J17" s="6"/>
      <c r="K17" s="6"/>
      <c r="L17" s="6"/>
      <c r="M17" s="6" t="e">
        <f>VLOOKUP(A17,Merrick!$A$2:$G$46,7,FALSE)</f>
        <v>#N/A</v>
      </c>
      <c r="N17" s="6"/>
      <c r="O17" s="6"/>
    </row>
    <row r="18" spans="1:15" x14ac:dyDescent="0.25">
      <c r="A18" s="19" t="s">
        <v>32</v>
      </c>
      <c r="B18" s="8" t="s">
        <v>23</v>
      </c>
      <c r="C18" s="8" t="s">
        <v>24</v>
      </c>
      <c r="D18" s="8" t="s">
        <v>25</v>
      </c>
      <c r="E18" s="9" t="s">
        <v>30</v>
      </c>
      <c r="F18" s="10" t="s">
        <v>20</v>
      </c>
      <c r="G18" s="6"/>
      <c r="H18" s="6"/>
      <c r="I18" s="6"/>
      <c r="J18" s="6"/>
      <c r="K18" s="6">
        <v>2.95</v>
      </c>
      <c r="L18" s="6"/>
      <c r="M18" s="6" t="e">
        <f>VLOOKUP(A18,Merrick!$A$2:$G$46,7,FALSE)</f>
        <v>#N/A</v>
      </c>
      <c r="N18" s="6"/>
      <c r="O18" s="6"/>
    </row>
    <row r="19" spans="1:15" x14ac:dyDescent="0.25">
      <c r="A19" s="19" t="s">
        <v>51</v>
      </c>
      <c r="B19" s="8" t="s">
        <v>23</v>
      </c>
      <c r="C19" s="8" t="s">
        <v>43</v>
      </c>
      <c r="D19" s="8" t="s">
        <v>35</v>
      </c>
      <c r="E19" s="9" t="s">
        <v>26</v>
      </c>
      <c r="F19" s="10" t="s">
        <v>20</v>
      </c>
      <c r="G19" s="6"/>
      <c r="H19" s="6"/>
      <c r="I19" s="6"/>
      <c r="J19" s="6"/>
      <c r="K19" s="6">
        <v>3.98</v>
      </c>
      <c r="L19" s="6"/>
      <c r="M19" s="6" t="e">
        <f>VLOOKUP(A19,Merrick!$A$2:$G$46,7,FALSE)</f>
        <v>#N/A</v>
      </c>
      <c r="N19" s="6"/>
      <c r="O19" s="6"/>
    </row>
    <row r="20" spans="1:15" ht="45" x14ac:dyDescent="0.25">
      <c r="A20" s="20" t="s">
        <v>54</v>
      </c>
      <c r="B20" s="8" t="s">
        <v>23</v>
      </c>
      <c r="C20" s="8" t="s">
        <v>43</v>
      </c>
      <c r="D20" s="8" t="s">
        <v>35</v>
      </c>
      <c r="E20" s="9" t="s">
        <v>26</v>
      </c>
      <c r="F20" s="10" t="s">
        <v>20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ht="45.75" customHeight="1" x14ac:dyDescent="0.25">
      <c r="A21" s="19" t="s">
        <v>52</v>
      </c>
      <c r="B21" s="8" t="s">
        <v>23</v>
      </c>
      <c r="C21" s="8" t="s">
        <v>43</v>
      </c>
      <c r="D21" s="8" t="s">
        <v>35</v>
      </c>
      <c r="E21" s="9" t="s">
        <v>26</v>
      </c>
      <c r="F21" s="10" t="s">
        <v>20</v>
      </c>
      <c r="G21" s="6"/>
      <c r="H21" s="6"/>
      <c r="I21" s="6"/>
      <c r="J21" s="6"/>
      <c r="K21" s="6">
        <v>3.98</v>
      </c>
      <c r="L21" s="6"/>
      <c r="M21" s="6" t="e">
        <f>VLOOKUP(A21,Merrick!$A$2:$G$46,7,FALSE)</f>
        <v>#N/A</v>
      </c>
      <c r="N21" s="6"/>
      <c r="O21" s="6"/>
    </row>
    <row r="22" spans="1:15" x14ac:dyDescent="0.25">
      <c r="A22" s="19" t="s">
        <v>53</v>
      </c>
      <c r="B22" s="8" t="s">
        <v>23</v>
      </c>
      <c r="C22" s="8" t="s">
        <v>43</v>
      </c>
      <c r="D22" s="8" t="s">
        <v>35</v>
      </c>
      <c r="E22" s="9" t="s">
        <v>26</v>
      </c>
      <c r="F22" s="10" t="s">
        <v>20</v>
      </c>
      <c r="G22" s="6"/>
      <c r="H22" s="6"/>
      <c r="I22" s="6"/>
      <c r="J22" s="6"/>
      <c r="K22" s="6">
        <v>3.98</v>
      </c>
      <c r="L22" s="6"/>
      <c r="M22" s="6" t="e">
        <f>VLOOKUP(A22,Merrick!$A$2:$G$46,7,FALSE)</f>
        <v>#N/A</v>
      </c>
      <c r="N22" s="6"/>
      <c r="O22" s="6"/>
    </row>
    <row r="23" spans="1:15" x14ac:dyDescent="0.25">
      <c r="A23" s="19" t="s">
        <v>42</v>
      </c>
      <c r="B23" s="8" t="s">
        <v>23</v>
      </c>
      <c r="C23" s="8" t="s">
        <v>43</v>
      </c>
      <c r="D23" s="8" t="s">
        <v>25</v>
      </c>
      <c r="E23" s="9" t="s">
        <v>26</v>
      </c>
      <c r="F23" s="10" t="s">
        <v>20</v>
      </c>
      <c r="G23" s="6"/>
      <c r="H23" s="6"/>
      <c r="I23" s="6"/>
      <c r="J23" s="6"/>
      <c r="K23" s="6"/>
      <c r="L23" s="6"/>
      <c r="M23" s="6" t="e">
        <f>VLOOKUP(A23,Merrick!$A$2:$G$46,7,FALSE)</f>
        <v>#N/A</v>
      </c>
      <c r="N23" s="6"/>
      <c r="O23" s="6"/>
    </row>
    <row r="24" spans="1:15" ht="45" x14ac:dyDescent="0.25">
      <c r="A24" s="20" t="s">
        <v>46</v>
      </c>
      <c r="B24" s="8" t="s">
        <v>23</v>
      </c>
      <c r="C24" s="8" t="s">
        <v>43</v>
      </c>
      <c r="D24" s="8" t="s">
        <v>25</v>
      </c>
      <c r="E24" s="9" t="s">
        <v>26</v>
      </c>
      <c r="F24" s="10" t="s">
        <v>20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ht="45.75" customHeight="1" x14ac:dyDescent="0.25">
      <c r="A25" s="19" t="s">
        <v>44</v>
      </c>
      <c r="B25" s="8" t="s">
        <v>23</v>
      </c>
      <c r="C25" s="8" t="s">
        <v>43</v>
      </c>
      <c r="D25" s="8" t="s">
        <v>25</v>
      </c>
      <c r="E25" s="9" t="s">
        <v>26</v>
      </c>
      <c r="F25" s="10" t="s">
        <v>20</v>
      </c>
      <c r="G25" s="6"/>
      <c r="H25" s="6"/>
      <c r="I25" s="6"/>
      <c r="J25" s="6"/>
      <c r="K25" s="6"/>
      <c r="L25" s="6"/>
      <c r="M25" s="6" t="e">
        <f>VLOOKUP(A25,Merrick!$A$2:$G$46,7,FALSE)</f>
        <v>#N/A</v>
      </c>
      <c r="N25" s="6"/>
      <c r="O25" s="6"/>
    </row>
    <row r="26" spans="1:15" x14ac:dyDescent="0.25">
      <c r="A26" s="19" t="s">
        <v>45</v>
      </c>
      <c r="B26" s="8" t="s">
        <v>23</v>
      </c>
      <c r="C26" s="8" t="s">
        <v>43</v>
      </c>
      <c r="D26" s="8" t="s">
        <v>25</v>
      </c>
      <c r="E26" s="9" t="s">
        <v>26</v>
      </c>
      <c r="F26" s="10" t="s">
        <v>20</v>
      </c>
      <c r="G26" s="6"/>
      <c r="H26" s="6"/>
      <c r="I26" s="6"/>
      <c r="J26" s="6"/>
      <c r="K26" s="6"/>
      <c r="L26" s="6"/>
      <c r="M26" s="6" t="e">
        <f>VLOOKUP(A26,Merrick!$A$2:$G$46,7,FALSE)</f>
        <v>#N/A</v>
      </c>
      <c r="N26" s="6"/>
      <c r="O26" s="6"/>
    </row>
    <row r="27" spans="1:15" x14ac:dyDescent="0.25">
      <c r="A27" s="19" t="s">
        <v>55</v>
      </c>
      <c r="B27" s="8" t="s">
        <v>23</v>
      </c>
      <c r="C27" s="8" t="s">
        <v>43</v>
      </c>
      <c r="D27" s="8" t="s">
        <v>35</v>
      </c>
      <c r="E27" s="9" t="s">
        <v>30</v>
      </c>
      <c r="F27" s="10" t="s">
        <v>20</v>
      </c>
      <c r="G27" s="6"/>
      <c r="H27" s="6"/>
      <c r="I27" s="6"/>
      <c r="J27" s="6"/>
      <c r="K27" s="6">
        <v>3.55</v>
      </c>
      <c r="L27" s="6"/>
      <c r="M27" s="6" t="e">
        <f>VLOOKUP(A27,Merrick!$A$2:$G$46,7,FALSE)</f>
        <v>#N/A</v>
      </c>
      <c r="N27" s="6"/>
      <c r="O27" s="6"/>
    </row>
    <row r="28" spans="1:15" ht="45" x14ac:dyDescent="0.25">
      <c r="A28" s="20" t="s">
        <v>58</v>
      </c>
      <c r="B28" s="8" t="s">
        <v>23</v>
      </c>
      <c r="C28" s="8" t="s">
        <v>43</v>
      </c>
      <c r="D28" s="8" t="s">
        <v>35</v>
      </c>
      <c r="E28" s="9" t="s">
        <v>30</v>
      </c>
      <c r="F28" s="10" t="s">
        <v>20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ht="45.75" customHeight="1" x14ac:dyDescent="0.25">
      <c r="A29" s="19" t="s">
        <v>56</v>
      </c>
      <c r="B29" s="8" t="s">
        <v>23</v>
      </c>
      <c r="C29" s="8" t="s">
        <v>43</v>
      </c>
      <c r="D29" s="8" t="s">
        <v>35</v>
      </c>
      <c r="E29" s="9" t="s">
        <v>30</v>
      </c>
      <c r="F29" s="10" t="s">
        <v>20</v>
      </c>
      <c r="G29" s="6"/>
      <c r="H29" s="6"/>
      <c r="I29" s="6"/>
      <c r="J29" s="6"/>
      <c r="K29" s="6"/>
      <c r="L29" s="6"/>
      <c r="M29" s="6" t="e">
        <f>VLOOKUP(A29,Merrick!$A$2:$G$46,7,FALSE)</f>
        <v>#N/A</v>
      </c>
      <c r="N29" s="6"/>
      <c r="O29" s="6"/>
    </row>
    <row r="30" spans="1:15" x14ac:dyDescent="0.25">
      <c r="A30" s="19" t="s">
        <v>57</v>
      </c>
      <c r="B30" s="8" t="s">
        <v>23</v>
      </c>
      <c r="C30" s="8" t="s">
        <v>43</v>
      </c>
      <c r="D30" s="8" t="s">
        <v>35</v>
      </c>
      <c r="E30" s="9" t="s">
        <v>30</v>
      </c>
      <c r="F30" s="10" t="s">
        <v>20</v>
      </c>
      <c r="G30" s="6"/>
      <c r="H30" s="6"/>
      <c r="I30" s="6"/>
      <c r="J30" s="6"/>
      <c r="K30" s="6"/>
      <c r="L30" s="6"/>
      <c r="M30" s="6" t="e">
        <f>VLOOKUP(A30,Merrick!$A$2:$G$46,7,FALSE)</f>
        <v>#N/A</v>
      </c>
      <c r="N30" s="6"/>
      <c r="O30" s="6"/>
    </row>
    <row r="31" spans="1:15" x14ac:dyDescent="0.25">
      <c r="A31" s="19" t="s">
        <v>47</v>
      </c>
      <c r="B31" s="8" t="s">
        <v>23</v>
      </c>
      <c r="C31" s="8" t="s">
        <v>43</v>
      </c>
      <c r="D31" s="8" t="s">
        <v>25</v>
      </c>
      <c r="E31" s="9" t="s">
        <v>30</v>
      </c>
      <c r="F31" s="10" t="s">
        <v>20</v>
      </c>
      <c r="G31" s="6"/>
      <c r="H31" s="6"/>
      <c r="I31" s="6"/>
      <c r="J31" s="6"/>
      <c r="K31" s="6"/>
      <c r="L31" s="6"/>
      <c r="M31" s="6" t="e">
        <f>VLOOKUP(A31,Merrick!$A$2:$G$46,7,FALSE)</f>
        <v>#N/A</v>
      </c>
      <c r="N31" s="6"/>
      <c r="O31" s="6"/>
    </row>
    <row r="32" spans="1:15" ht="45" x14ac:dyDescent="0.25">
      <c r="A32" s="20" t="s">
        <v>50</v>
      </c>
      <c r="B32" s="8" t="s">
        <v>23</v>
      </c>
      <c r="C32" s="8" t="s">
        <v>43</v>
      </c>
      <c r="D32" s="8" t="s">
        <v>25</v>
      </c>
      <c r="E32" s="9" t="s">
        <v>30</v>
      </c>
      <c r="F32" s="10" t="s">
        <v>20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ht="45.75" customHeight="1" x14ac:dyDescent="0.25">
      <c r="A33" s="19" t="s">
        <v>48</v>
      </c>
      <c r="B33" s="8" t="s">
        <v>23</v>
      </c>
      <c r="C33" s="8" t="s">
        <v>43</v>
      </c>
      <c r="D33" s="8" t="s">
        <v>25</v>
      </c>
      <c r="E33" s="9" t="s">
        <v>30</v>
      </c>
      <c r="F33" s="10" t="s">
        <v>20</v>
      </c>
      <c r="G33" s="6"/>
      <c r="H33" s="6"/>
      <c r="I33" s="6"/>
      <c r="J33" s="6"/>
      <c r="K33" s="6">
        <v>2.5499999999999998</v>
      </c>
      <c r="L33" s="6"/>
      <c r="M33" s="6" t="e">
        <f>VLOOKUP(A33,Merrick!$A$2:$G$46,7,FALSE)</f>
        <v>#N/A</v>
      </c>
      <c r="N33" s="6"/>
      <c r="O33" s="6"/>
    </row>
    <row r="34" spans="1:15" x14ac:dyDescent="0.25">
      <c r="A34" s="19" t="s">
        <v>49</v>
      </c>
      <c r="B34" s="8" t="s">
        <v>23</v>
      </c>
      <c r="C34" s="8" t="s">
        <v>43</v>
      </c>
      <c r="D34" s="8" t="s">
        <v>25</v>
      </c>
      <c r="E34" s="9" t="s">
        <v>30</v>
      </c>
      <c r="F34" s="10" t="s">
        <v>20</v>
      </c>
      <c r="G34" s="6"/>
      <c r="H34" s="6"/>
      <c r="I34" s="6"/>
      <c r="J34" s="6"/>
      <c r="K34" s="6"/>
      <c r="L34" s="6"/>
      <c r="M34" s="6" t="e">
        <f>VLOOKUP(A34,Merrick!$A$2:$G$46,7,FALSE)</f>
        <v>#N/A</v>
      </c>
      <c r="N34" s="6"/>
      <c r="O34" s="6"/>
    </row>
    <row r="35" spans="1:15" x14ac:dyDescent="0.25">
      <c r="A35" s="11" t="s">
        <v>61</v>
      </c>
      <c r="B35" s="8" t="s">
        <v>60</v>
      </c>
      <c r="C35" s="8" t="s">
        <v>24</v>
      </c>
      <c r="D35" s="8" t="s">
        <v>35</v>
      </c>
      <c r="E35" s="9" t="s">
        <v>30</v>
      </c>
      <c r="F35" s="10" t="s">
        <v>20</v>
      </c>
      <c r="G35" s="6"/>
      <c r="H35" s="6">
        <v>3.85</v>
      </c>
      <c r="I35" s="6">
        <v>4.5</v>
      </c>
      <c r="J35" s="6"/>
      <c r="K35" s="6"/>
      <c r="L35" s="6"/>
      <c r="M35" s="6" t="e">
        <f>VLOOKUP(A35,Merrick!$A$2:$G$46,7,FALSE)</f>
        <v>#N/A</v>
      </c>
      <c r="N35" s="6"/>
      <c r="O35" s="6"/>
    </row>
    <row r="36" spans="1:15" x14ac:dyDescent="0.25">
      <c r="A36" s="11" t="s">
        <v>59</v>
      </c>
      <c r="B36" s="8" t="s">
        <v>60</v>
      </c>
      <c r="C36" s="8" t="s">
        <v>24</v>
      </c>
      <c r="D36" s="8" t="s">
        <v>25</v>
      </c>
      <c r="E36" s="9" t="s">
        <v>30</v>
      </c>
      <c r="F36" s="10" t="s">
        <v>20</v>
      </c>
      <c r="G36" s="6"/>
      <c r="H36" s="6">
        <v>3.4</v>
      </c>
      <c r="I36" s="6">
        <v>3.5</v>
      </c>
      <c r="J36" s="6"/>
      <c r="K36" s="6"/>
      <c r="L36" s="6"/>
      <c r="M36" s="6" t="e">
        <f>VLOOKUP(A36,Merrick!$A$2:$G$46,7,FALSE)</f>
        <v>#N/A</v>
      </c>
      <c r="N36" s="6"/>
      <c r="O36" s="6"/>
    </row>
    <row r="37" spans="1:15" x14ac:dyDescent="0.25">
      <c r="A37" s="11" t="s">
        <v>62</v>
      </c>
      <c r="B37" s="8" t="s">
        <v>60</v>
      </c>
      <c r="C37" s="8" t="s">
        <v>63</v>
      </c>
      <c r="D37" s="8" t="s">
        <v>64</v>
      </c>
      <c r="E37" s="9" t="s">
        <v>65</v>
      </c>
      <c r="F37" s="10" t="s">
        <v>20</v>
      </c>
      <c r="G37" s="6"/>
      <c r="H37" s="6">
        <v>3.85</v>
      </c>
      <c r="I37" s="6"/>
      <c r="J37" s="6"/>
      <c r="K37" s="6"/>
      <c r="L37" s="6">
        <v>4.25</v>
      </c>
      <c r="M37" s="6">
        <f>VLOOKUP(A37,Merrick!$A$2:$G$46,7,FALSE)</f>
        <v>2.0499999999999998</v>
      </c>
      <c r="N37" s="6"/>
      <c r="O37" s="6"/>
    </row>
    <row r="38" spans="1:15" x14ac:dyDescent="0.25">
      <c r="A38" s="11" t="s">
        <v>67</v>
      </c>
      <c r="B38" s="8" t="s">
        <v>60</v>
      </c>
      <c r="C38" s="8" t="s">
        <v>63</v>
      </c>
      <c r="D38" s="8" t="s">
        <v>35</v>
      </c>
      <c r="E38" s="9" t="s">
        <v>26</v>
      </c>
      <c r="F38" s="10" t="s">
        <v>20</v>
      </c>
      <c r="G38" s="6"/>
      <c r="H38" s="6"/>
      <c r="I38" s="6">
        <v>5.0999999999999996</v>
      </c>
      <c r="J38" s="6"/>
      <c r="K38" s="6"/>
      <c r="L38" s="6"/>
      <c r="M38" s="6">
        <f>VLOOKUP(A38,Merrick!$A$2:$G$46,7,FALSE)</f>
        <v>3.5</v>
      </c>
      <c r="N38" s="6"/>
      <c r="O38" s="6"/>
    </row>
    <row r="39" spans="1:15" x14ac:dyDescent="0.25">
      <c r="A39" s="11" t="s">
        <v>68</v>
      </c>
      <c r="B39" s="8" t="s">
        <v>60</v>
      </c>
      <c r="C39" s="8" t="s">
        <v>63</v>
      </c>
      <c r="D39" s="8" t="s">
        <v>35</v>
      </c>
      <c r="E39" s="9" t="s">
        <v>69</v>
      </c>
      <c r="F39" s="10" t="s">
        <v>20</v>
      </c>
      <c r="G39" s="6"/>
      <c r="H39" s="6"/>
      <c r="I39" s="6">
        <v>4.4000000000000004</v>
      </c>
      <c r="J39" s="6"/>
      <c r="K39" s="6"/>
      <c r="L39" s="6"/>
      <c r="M39" s="6" t="e">
        <f>VLOOKUP(A39,Merrick!$A$2:$G$46,7,FALSE)</f>
        <v>#N/A</v>
      </c>
      <c r="N39" s="6"/>
      <c r="O39" s="6"/>
    </row>
    <row r="40" spans="1:15" x14ac:dyDescent="0.25">
      <c r="A40" s="11" t="s">
        <v>66</v>
      </c>
      <c r="B40" s="8" t="s">
        <v>60</v>
      </c>
      <c r="C40" s="8" t="s">
        <v>63</v>
      </c>
      <c r="D40" s="8" t="s">
        <v>25</v>
      </c>
      <c r="E40" s="9" t="s">
        <v>30</v>
      </c>
      <c r="F40" s="10" t="s">
        <v>20</v>
      </c>
      <c r="G40" s="6"/>
      <c r="H40" s="6">
        <v>2.7</v>
      </c>
      <c r="I40" s="6">
        <v>3.5</v>
      </c>
      <c r="J40" s="6"/>
      <c r="K40" s="6"/>
      <c r="L40" s="6">
        <v>2.5499999999999998</v>
      </c>
      <c r="M40" s="6">
        <f>VLOOKUP(A40,Merrick!$A$2:$G$46,7,FALSE)</f>
        <v>2.68</v>
      </c>
      <c r="N40" s="6"/>
      <c r="O40" s="6"/>
    </row>
    <row r="41" spans="1:15" x14ac:dyDescent="0.25">
      <c r="A41" s="11" t="s">
        <v>80</v>
      </c>
      <c r="B41" s="8" t="s">
        <v>60</v>
      </c>
      <c r="C41" s="8" t="s">
        <v>78</v>
      </c>
      <c r="D41" s="8" t="s">
        <v>64</v>
      </c>
      <c r="E41" s="9" t="s">
        <v>65</v>
      </c>
      <c r="F41" s="10" t="s">
        <v>20</v>
      </c>
      <c r="G41" s="6"/>
      <c r="H41" s="6">
        <v>3.55</v>
      </c>
      <c r="I41" s="6"/>
      <c r="J41" s="6"/>
      <c r="K41" s="6"/>
      <c r="L41" s="6">
        <v>4.25</v>
      </c>
      <c r="M41" s="6">
        <f>VLOOKUP(A41,Merrick!$A$2:$G$46,7,FALSE)</f>
        <v>4.25</v>
      </c>
      <c r="N41" s="6"/>
      <c r="O41" s="6"/>
    </row>
    <row r="42" spans="1:15" x14ac:dyDescent="0.25">
      <c r="A42" s="11" t="s">
        <v>82</v>
      </c>
      <c r="B42" s="8" t="s">
        <v>60</v>
      </c>
      <c r="C42" s="8" t="s">
        <v>78</v>
      </c>
      <c r="D42" s="8" t="s">
        <v>35</v>
      </c>
      <c r="E42" s="9" t="s">
        <v>26</v>
      </c>
      <c r="F42" s="10" t="s">
        <v>20</v>
      </c>
      <c r="G42" s="6"/>
      <c r="H42" s="6"/>
      <c r="I42" s="6">
        <v>5.45</v>
      </c>
      <c r="J42" s="6"/>
      <c r="K42" s="6"/>
      <c r="L42" s="6"/>
      <c r="M42" s="6" t="e">
        <f>VLOOKUP(A42,Merrick!$A$2:$G$46,7,FALSE)</f>
        <v>#N/A</v>
      </c>
      <c r="N42" s="6"/>
      <c r="O42" s="6"/>
    </row>
    <row r="43" spans="1:15" x14ac:dyDescent="0.25">
      <c r="A43" s="11" t="s">
        <v>77</v>
      </c>
      <c r="B43" s="8" t="s">
        <v>60</v>
      </c>
      <c r="C43" s="8" t="s">
        <v>78</v>
      </c>
      <c r="D43" s="8" t="s">
        <v>79</v>
      </c>
      <c r="E43" s="9" t="s">
        <v>19</v>
      </c>
      <c r="F43" s="10" t="s">
        <v>20</v>
      </c>
      <c r="G43" s="6"/>
      <c r="H43" s="6"/>
      <c r="I43" s="6"/>
      <c r="J43" s="6"/>
      <c r="K43" s="6"/>
      <c r="L43" s="6"/>
      <c r="M43" s="6" t="e">
        <f>VLOOKUP(A43,Merrick!$A$2:$G$46,7,FALSE)</f>
        <v>#N/A</v>
      </c>
      <c r="N43" s="6"/>
      <c r="O43" s="6"/>
    </row>
    <row r="44" spans="1:15" x14ac:dyDescent="0.25">
      <c r="A44" s="11" t="s">
        <v>83</v>
      </c>
      <c r="B44" s="8" t="s">
        <v>60</v>
      </c>
      <c r="C44" s="8" t="s">
        <v>78</v>
      </c>
      <c r="D44" s="8" t="s">
        <v>35</v>
      </c>
      <c r="E44" s="9" t="s">
        <v>69</v>
      </c>
      <c r="F44" s="10" t="s">
        <v>20</v>
      </c>
      <c r="G44" s="6"/>
      <c r="H44" s="6">
        <v>2.89</v>
      </c>
      <c r="I44" s="6">
        <v>4.6500000000000004</v>
      </c>
      <c r="J44" s="6"/>
      <c r="K44" s="6"/>
      <c r="L44" s="6">
        <v>2.9</v>
      </c>
      <c r="M44" s="6" t="e">
        <f>VLOOKUP(A44,Merrick!$A$2:$G$46,7,FALSE)</f>
        <v>#N/A</v>
      </c>
      <c r="N44" s="6"/>
      <c r="O44" s="6"/>
    </row>
    <row r="45" spans="1:15" x14ac:dyDescent="0.25">
      <c r="A45" s="11" t="s">
        <v>81</v>
      </c>
      <c r="B45" s="8" t="s">
        <v>60</v>
      </c>
      <c r="C45" s="8" t="s">
        <v>78</v>
      </c>
      <c r="D45" s="8" t="s">
        <v>25</v>
      </c>
      <c r="E45" s="9" t="s">
        <v>69</v>
      </c>
      <c r="F45" s="10" t="s">
        <v>20</v>
      </c>
      <c r="G45" s="6"/>
      <c r="H45" s="6">
        <v>2.5499999999999998</v>
      </c>
      <c r="I45" s="6">
        <v>3.4</v>
      </c>
      <c r="J45" s="6"/>
      <c r="K45" s="6"/>
      <c r="L45" s="6">
        <v>2.25</v>
      </c>
      <c r="M45" s="6">
        <f>VLOOKUP(A45,Merrick!$A$2:$G$46,7,FALSE)</f>
        <v>2.4500000000000002</v>
      </c>
      <c r="N45" s="6"/>
      <c r="O45" s="6"/>
    </row>
    <row r="46" spans="1:15" x14ac:dyDescent="0.25">
      <c r="A46" s="11" t="s">
        <v>75</v>
      </c>
      <c r="B46" s="8" t="s">
        <v>60</v>
      </c>
      <c r="C46" s="8" t="s">
        <v>71</v>
      </c>
      <c r="D46" s="8" t="s">
        <v>35</v>
      </c>
      <c r="E46" s="9" t="s">
        <v>19</v>
      </c>
      <c r="F46" s="10" t="s">
        <v>72</v>
      </c>
      <c r="G46" s="6"/>
      <c r="H46" s="6"/>
      <c r="I46" s="6">
        <v>4.45</v>
      </c>
      <c r="J46" s="6"/>
      <c r="K46" s="6"/>
      <c r="L46" s="6"/>
      <c r="M46" s="6" t="e">
        <f>VLOOKUP(A46,Merrick!$A$2:$G$46,7,FALSE)</f>
        <v>#N/A</v>
      </c>
      <c r="N46" s="6"/>
      <c r="O46" s="6"/>
    </row>
    <row r="47" spans="1:15" x14ac:dyDescent="0.25">
      <c r="A47" s="11" t="s">
        <v>76</v>
      </c>
      <c r="B47" s="8" t="s">
        <v>60</v>
      </c>
      <c r="C47" s="8" t="s">
        <v>71</v>
      </c>
      <c r="D47" s="8" t="s">
        <v>35</v>
      </c>
      <c r="E47" s="9" t="s">
        <v>30</v>
      </c>
      <c r="F47" s="10" t="s">
        <v>74</v>
      </c>
      <c r="G47" s="6"/>
      <c r="H47" s="6"/>
      <c r="I47" s="6">
        <v>4.45</v>
      </c>
      <c r="J47" s="6"/>
      <c r="K47" s="6"/>
      <c r="L47" s="6"/>
      <c r="M47" s="6" t="e">
        <f>VLOOKUP(A47,Merrick!$A$2:$G$46,7,FALSE)</f>
        <v>#N/A</v>
      </c>
      <c r="N47" s="6"/>
      <c r="O47" s="6"/>
    </row>
    <row r="48" spans="1:15" x14ac:dyDescent="0.25">
      <c r="A48" s="11" t="s">
        <v>70</v>
      </c>
      <c r="B48" s="8" t="s">
        <v>60</v>
      </c>
      <c r="C48" s="8" t="s">
        <v>71</v>
      </c>
      <c r="D48" s="8" t="s">
        <v>25</v>
      </c>
      <c r="E48" s="9" t="s">
        <v>19</v>
      </c>
      <c r="F48" s="10" t="s">
        <v>72</v>
      </c>
      <c r="G48" s="6"/>
      <c r="H48" s="6"/>
      <c r="I48" s="6">
        <v>3.4</v>
      </c>
      <c r="J48" s="6"/>
      <c r="K48" s="6"/>
      <c r="L48" s="6"/>
      <c r="M48" s="6" t="e">
        <f>VLOOKUP(A48,Merrick!$A$2:$G$46,7,FALSE)</f>
        <v>#N/A</v>
      </c>
      <c r="N48" s="6"/>
      <c r="O48" s="6"/>
    </row>
    <row r="49" spans="1:15" x14ac:dyDescent="0.25">
      <c r="A49" s="11" t="s">
        <v>73</v>
      </c>
      <c r="B49" s="8" t="s">
        <v>60</v>
      </c>
      <c r="C49" s="8" t="s">
        <v>71</v>
      </c>
      <c r="D49" s="8" t="s">
        <v>25</v>
      </c>
      <c r="E49" s="9" t="s">
        <v>19</v>
      </c>
      <c r="F49" s="10" t="s">
        <v>74</v>
      </c>
      <c r="G49" s="6"/>
      <c r="H49" s="6"/>
      <c r="I49" s="6">
        <v>3.4</v>
      </c>
      <c r="J49" s="6"/>
      <c r="K49" s="6"/>
      <c r="L49" s="6"/>
      <c r="M49" s="6" t="e">
        <f>VLOOKUP(A49,Merrick!$A$2:$G$46,7,FALSE)</f>
        <v>#N/A</v>
      </c>
      <c r="N49" s="6"/>
      <c r="O49" s="6"/>
    </row>
    <row r="50" spans="1:15" x14ac:dyDescent="0.25">
      <c r="A50" s="11" t="s">
        <v>87</v>
      </c>
      <c r="B50" s="8" t="s">
        <v>60</v>
      </c>
      <c r="C50" s="8" t="s">
        <v>85</v>
      </c>
      <c r="D50" s="8" t="s">
        <v>35</v>
      </c>
      <c r="E50" s="9" t="s">
        <v>19</v>
      </c>
      <c r="F50" s="10" t="s">
        <v>72</v>
      </c>
      <c r="G50" s="6"/>
      <c r="H50" s="6"/>
      <c r="I50" s="6">
        <v>4.7</v>
      </c>
      <c r="J50" s="6"/>
      <c r="K50" s="6"/>
      <c r="L50" s="6"/>
      <c r="M50" s="6" t="e">
        <f>VLOOKUP(A50,Merrick!$A$2:$G$46,7,FALSE)</f>
        <v>#N/A</v>
      </c>
      <c r="N50" s="6"/>
      <c r="O50" s="6"/>
    </row>
    <row r="51" spans="1:15" x14ac:dyDescent="0.25">
      <c r="A51" s="11" t="s">
        <v>88</v>
      </c>
      <c r="B51" s="8" t="s">
        <v>60</v>
      </c>
      <c r="C51" s="8" t="s">
        <v>85</v>
      </c>
      <c r="D51" s="8" t="s">
        <v>35</v>
      </c>
      <c r="E51" s="9" t="s">
        <v>19</v>
      </c>
      <c r="F51" s="10" t="s">
        <v>74</v>
      </c>
      <c r="G51" s="6"/>
      <c r="H51" s="6"/>
      <c r="I51" s="6">
        <v>4.7</v>
      </c>
      <c r="J51" s="6"/>
      <c r="K51" s="6"/>
      <c r="L51" s="6"/>
      <c r="M51" s="6">
        <f>VLOOKUP(A51,Merrick!$A$2:$G$46,7,FALSE)</f>
        <v>4.25</v>
      </c>
      <c r="N51" s="6"/>
      <c r="O51" s="6"/>
    </row>
    <row r="52" spans="1:15" x14ac:dyDescent="0.25">
      <c r="A52" s="11" t="s">
        <v>84</v>
      </c>
      <c r="B52" s="8" t="s">
        <v>60</v>
      </c>
      <c r="C52" s="8" t="s">
        <v>85</v>
      </c>
      <c r="D52" s="8" t="s">
        <v>25</v>
      </c>
      <c r="E52" s="9" t="s">
        <v>19</v>
      </c>
      <c r="F52" s="10" t="s">
        <v>72</v>
      </c>
      <c r="G52" s="6"/>
      <c r="H52" s="6"/>
      <c r="I52" s="6">
        <v>3.45</v>
      </c>
      <c r="J52" s="6"/>
      <c r="K52" s="6"/>
      <c r="L52" s="6"/>
      <c r="M52" s="6" t="e">
        <f>VLOOKUP(A52,Merrick!$A$2:$G$46,7,FALSE)</f>
        <v>#N/A</v>
      </c>
      <c r="N52" s="6"/>
      <c r="O52" s="6"/>
    </row>
    <row r="53" spans="1:15" x14ac:dyDescent="0.25">
      <c r="A53" s="11" t="s">
        <v>86</v>
      </c>
      <c r="B53" s="8" t="s">
        <v>60</v>
      </c>
      <c r="C53" s="8" t="s">
        <v>85</v>
      </c>
      <c r="D53" s="8" t="s">
        <v>25</v>
      </c>
      <c r="E53" s="9" t="s">
        <v>19</v>
      </c>
      <c r="F53" s="10" t="s">
        <v>74</v>
      </c>
      <c r="G53" s="6"/>
      <c r="H53" s="6"/>
      <c r="I53" s="6">
        <v>3.45</v>
      </c>
      <c r="J53" s="6"/>
      <c r="K53" s="6"/>
      <c r="L53" s="6"/>
      <c r="M53" s="6">
        <f>VLOOKUP(A53,Merrick!$A$2:$G$46,7,FALSE)</f>
        <v>2.4500000000000002</v>
      </c>
      <c r="N53" s="6"/>
      <c r="O53" s="6"/>
    </row>
    <row r="54" spans="1:15" x14ac:dyDescent="0.25">
      <c r="A54" s="11" t="s">
        <v>89</v>
      </c>
      <c r="B54" s="8" t="s">
        <v>60</v>
      </c>
      <c r="C54" s="8" t="s">
        <v>90</v>
      </c>
      <c r="D54" s="8" t="s">
        <v>64</v>
      </c>
      <c r="E54" s="9" t="s">
        <v>91</v>
      </c>
      <c r="F54" s="10" t="s">
        <v>74</v>
      </c>
      <c r="G54" s="6"/>
      <c r="H54" s="6"/>
      <c r="I54" s="6"/>
      <c r="J54" s="6"/>
      <c r="K54" s="6"/>
      <c r="L54" s="6"/>
      <c r="M54" s="6" t="e">
        <f>VLOOKUP(A54,Merrick!$A$2:$G$46,7,FALSE)</f>
        <v>#N/A</v>
      </c>
      <c r="N54" s="6"/>
      <c r="O54" s="6"/>
    </row>
    <row r="55" spans="1:15" x14ac:dyDescent="0.25">
      <c r="A55" s="11" t="s">
        <v>98</v>
      </c>
      <c r="B55" s="8" t="s">
        <v>60</v>
      </c>
      <c r="C55" s="8" t="s">
        <v>90</v>
      </c>
      <c r="D55" s="8" t="s">
        <v>35</v>
      </c>
      <c r="E55" s="9" t="s">
        <v>19</v>
      </c>
      <c r="F55" s="10" t="s">
        <v>72</v>
      </c>
      <c r="G55" s="6"/>
      <c r="H55" s="6"/>
      <c r="I55" s="6">
        <v>4.75</v>
      </c>
      <c r="J55" s="6"/>
      <c r="K55" s="6"/>
      <c r="L55" s="6"/>
      <c r="M55" s="6" t="e">
        <f>VLOOKUP(A55,Merrick!$A$2:$G$46,7,FALSE)</f>
        <v>#N/A</v>
      </c>
      <c r="N55" s="6"/>
      <c r="O55" s="6"/>
    </row>
    <row r="56" spans="1:15" x14ac:dyDescent="0.25">
      <c r="A56" s="19" t="s">
        <v>99</v>
      </c>
      <c r="B56" s="8" t="s">
        <v>60</v>
      </c>
      <c r="C56" s="8" t="s">
        <v>90</v>
      </c>
      <c r="D56" s="8" t="s">
        <v>35</v>
      </c>
      <c r="E56" s="9" t="s">
        <v>30</v>
      </c>
      <c r="F56" s="10" t="s">
        <v>74</v>
      </c>
      <c r="G56" s="6"/>
      <c r="H56" s="6">
        <v>4.5999999999999996</v>
      </c>
      <c r="I56" s="6"/>
      <c r="J56" s="6"/>
      <c r="K56" s="6"/>
      <c r="L56" s="6">
        <v>4.6500000000000004</v>
      </c>
      <c r="M56" s="6">
        <f>VLOOKUP(A56,Merrick!$A$2:$G$46,7,FALSE)</f>
        <v>4.6500000000000004</v>
      </c>
      <c r="N56" s="6"/>
      <c r="O56" s="6"/>
    </row>
    <row r="57" spans="1:15" ht="30.75" customHeight="1" x14ac:dyDescent="0.25">
      <c r="A57" s="20" t="s">
        <v>101</v>
      </c>
      <c r="B57" s="8" t="s">
        <v>60</v>
      </c>
      <c r="C57" s="8" t="s">
        <v>90</v>
      </c>
      <c r="D57" s="8" t="s">
        <v>35</v>
      </c>
      <c r="E57" s="9" t="s">
        <v>30</v>
      </c>
      <c r="F57" s="10" t="s">
        <v>74</v>
      </c>
      <c r="G57" s="6"/>
      <c r="H57" s="6"/>
      <c r="I57" s="6">
        <v>4.75</v>
      </c>
      <c r="J57" s="6"/>
      <c r="K57" s="6"/>
      <c r="L57" s="6"/>
      <c r="M57" s="6"/>
      <c r="N57" s="6"/>
      <c r="O57" s="6"/>
    </row>
    <row r="58" spans="1:15" x14ac:dyDescent="0.25">
      <c r="A58" s="19" t="s">
        <v>100</v>
      </c>
      <c r="B58" s="8" t="s">
        <v>60</v>
      </c>
      <c r="C58" s="8" t="s">
        <v>90</v>
      </c>
      <c r="D58" s="8" t="s">
        <v>35</v>
      </c>
      <c r="E58" s="9" t="s">
        <v>30</v>
      </c>
      <c r="F58" s="10" t="s">
        <v>74</v>
      </c>
      <c r="G58" s="6"/>
      <c r="H58" s="6"/>
      <c r="I58" s="6"/>
      <c r="J58" s="6"/>
      <c r="K58" s="6"/>
      <c r="L58" s="6"/>
      <c r="M58" s="6" t="e">
        <f>VLOOKUP(A58,Merrick!$A$2:$G$46,7,FALSE)</f>
        <v>#N/A</v>
      </c>
      <c r="N58" s="6"/>
      <c r="O58" s="6"/>
    </row>
    <row r="59" spans="1:15" x14ac:dyDescent="0.25">
      <c r="A59" s="11" t="s">
        <v>92</v>
      </c>
      <c r="B59" s="8" t="s">
        <v>60</v>
      </c>
      <c r="C59" s="8" t="s">
        <v>90</v>
      </c>
      <c r="D59" s="8" t="s">
        <v>25</v>
      </c>
      <c r="E59" s="9" t="s">
        <v>19</v>
      </c>
      <c r="F59" s="10" t="s">
        <v>72</v>
      </c>
      <c r="G59" s="6"/>
      <c r="H59" s="6"/>
      <c r="I59" s="6">
        <v>3.45</v>
      </c>
      <c r="J59" s="6"/>
      <c r="K59" s="6"/>
      <c r="L59" s="6"/>
      <c r="M59" s="6" t="e">
        <f>VLOOKUP(A59,Merrick!$A$2:$G$46,7,FALSE)</f>
        <v>#N/A</v>
      </c>
      <c r="N59" s="6"/>
      <c r="O59" s="6"/>
    </row>
    <row r="60" spans="1:15" x14ac:dyDescent="0.25">
      <c r="A60" s="19" t="s">
        <v>93</v>
      </c>
      <c r="B60" s="8" t="s">
        <v>60</v>
      </c>
      <c r="C60" s="8" t="s">
        <v>90</v>
      </c>
      <c r="D60" s="8" t="s">
        <v>25</v>
      </c>
      <c r="E60" s="9" t="s">
        <v>19</v>
      </c>
      <c r="F60" s="10" t="s">
        <v>74</v>
      </c>
      <c r="G60" s="6"/>
      <c r="H60" s="6"/>
      <c r="I60" s="6"/>
      <c r="J60" s="6"/>
      <c r="K60" s="6"/>
      <c r="L60" s="6"/>
      <c r="M60" s="6">
        <f>VLOOKUP(A60,Merrick!$A$2:$G$46,7,FALSE)</f>
        <v>2.65</v>
      </c>
      <c r="N60" s="6"/>
      <c r="O60" s="6"/>
    </row>
    <row r="61" spans="1:15" ht="30" x14ac:dyDescent="0.25">
      <c r="A61" s="20" t="s">
        <v>95</v>
      </c>
      <c r="B61" s="8" t="s">
        <v>60</v>
      </c>
      <c r="C61" s="8" t="s">
        <v>90</v>
      </c>
      <c r="D61" s="8" t="s">
        <v>25</v>
      </c>
      <c r="E61" s="9" t="s">
        <v>19</v>
      </c>
      <c r="F61" s="10" t="s">
        <v>74</v>
      </c>
      <c r="G61" s="6"/>
      <c r="H61" s="6"/>
      <c r="I61" s="6">
        <v>3.45</v>
      </c>
      <c r="J61" s="6"/>
      <c r="K61" s="6"/>
      <c r="L61" s="6"/>
      <c r="M61" s="6"/>
      <c r="N61" s="6"/>
      <c r="O61" s="6"/>
    </row>
    <row r="62" spans="1:15" x14ac:dyDescent="0.25">
      <c r="A62" s="19" t="s">
        <v>94</v>
      </c>
      <c r="B62" s="8" t="s">
        <v>60</v>
      </c>
      <c r="C62" s="8" t="s">
        <v>90</v>
      </c>
      <c r="D62" s="8" t="s">
        <v>25</v>
      </c>
      <c r="E62" s="9" t="s">
        <v>19</v>
      </c>
      <c r="F62" s="10" t="s">
        <v>74</v>
      </c>
      <c r="G62" s="6"/>
      <c r="H62" s="6"/>
      <c r="I62" s="6"/>
      <c r="J62" s="6"/>
      <c r="K62" s="6"/>
      <c r="L62" s="6"/>
      <c r="M62" s="6" t="e">
        <f>VLOOKUP(A62,Merrick!$A$2:$G$46,7,FALSE)</f>
        <v>#N/A</v>
      </c>
      <c r="N62" s="6"/>
      <c r="O62" s="6"/>
    </row>
    <row r="63" spans="1:15" ht="30.75" customHeight="1" x14ac:dyDescent="0.25">
      <c r="A63" s="11" t="s">
        <v>96</v>
      </c>
      <c r="B63" s="8" t="s">
        <v>60</v>
      </c>
      <c r="C63" s="8" t="s">
        <v>90</v>
      </c>
      <c r="D63" s="8" t="s">
        <v>97</v>
      </c>
      <c r="E63" s="9" t="s">
        <v>69</v>
      </c>
      <c r="F63" s="10" t="s">
        <v>74</v>
      </c>
      <c r="G63" s="6"/>
      <c r="H63" s="6"/>
      <c r="I63" s="6">
        <v>7.65</v>
      </c>
      <c r="J63" s="6"/>
      <c r="K63" s="6"/>
      <c r="L63" s="6"/>
      <c r="M63" s="6" t="e">
        <f>VLOOKUP(A63,Merrick!$A$2:$G$46,7,FALSE)</f>
        <v>#N/A</v>
      </c>
      <c r="N63" s="6"/>
      <c r="O63" s="6"/>
    </row>
    <row r="64" spans="1:15" x14ac:dyDescent="0.25">
      <c r="A64" s="11" t="s">
        <v>104</v>
      </c>
      <c r="B64" s="8" t="s">
        <v>60</v>
      </c>
      <c r="C64" s="8" t="s">
        <v>17</v>
      </c>
      <c r="D64" s="8" t="s">
        <v>35</v>
      </c>
      <c r="E64" s="9" t="s">
        <v>19</v>
      </c>
      <c r="F64" s="10" t="s">
        <v>72</v>
      </c>
      <c r="G64" s="6"/>
      <c r="H64" s="6"/>
      <c r="I64" s="6">
        <v>4.75</v>
      </c>
      <c r="J64" s="6"/>
      <c r="K64" s="6"/>
      <c r="L64" s="6"/>
      <c r="M64" s="6" t="e">
        <f>VLOOKUP(A64,Merrick!$A$2:$G$46,7,FALSE)</f>
        <v>#N/A</v>
      </c>
      <c r="N64" s="6"/>
      <c r="O64" s="6"/>
    </row>
    <row r="65" spans="1:15" x14ac:dyDescent="0.25">
      <c r="A65" s="11" t="s">
        <v>105</v>
      </c>
      <c r="B65" s="8" t="s">
        <v>60</v>
      </c>
      <c r="C65" s="8" t="s">
        <v>17</v>
      </c>
      <c r="D65" s="8" t="s">
        <v>35</v>
      </c>
      <c r="E65" s="9" t="s">
        <v>19</v>
      </c>
      <c r="F65" s="10" t="s">
        <v>74</v>
      </c>
      <c r="G65" s="6"/>
      <c r="H65" s="6">
        <v>5.2</v>
      </c>
      <c r="I65" s="6">
        <v>4.75</v>
      </c>
      <c r="J65" s="6"/>
      <c r="K65" s="6"/>
      <c r="L65" s="6"/>
      <c r="M65" s="6" t="e">
        <f>VLOOKUP(A65,Merrick!$A$2:$G$46,7,FALSE)</f>
        <v>#N/A</v>
      </c>
      <c r="N65" s="6"/>
      <c r="O65" s="6"/>
    </row>
    <row r="66" spans="1:15" x14ac:dyDescent="0.25">
      <c r="A66" s="11" t="s">
        <v>102</v>
      </c>
      <c r="B66" s="8" t="s">
        <v>60</v>
      </c>
      <c r="C66" s="8" t="s">
        <v>17</v>
      </c>
      <c r="D66" s="8" t="s">
        <v>25</v>
      </c>
      <c r="E66" s="9" t="s">
        <v>19</v>
      </c>
      <c r="F66" s="10" t="s">
        <v>72</v>
      </c>
      <c r="G66" s="6"/>
      <c r="H66" s="6"/>
      <c r="I66" s="6">
        <v>3.5</v>
      </c>
      <c r="J66" s="6"/>
      <c r="K66" s="6"/>
      <c r="L66" s="6"/>
      <c r="M66" s="6" t="e">
        <f>VLOOKUP(A66,Merrick!$A$2:$G$46,7,FALSE)</f>
        <v>#N/A</v>
      </c>
      <c r="N66" s="6"/>
      <c r="O66" s="6"/>
    </row>
    <row r="67" spans="1:15" x14ac:dyDescent="0.25">
      <c r="A67" s="11" t="s">
        <v>103</v>
      </c>
      <c r="B67" s="8" t="s">
        <v>60</v>
      </c>
      <c r="C67" s="8" t="s">
        <v>17</v>
      </c>
      <c r="D67" s="8" t="s">
        <v>25</v>
      </c>
      <c r="E67" s="9" t="s">
        <v>19</v>
      </c>
      <c r="F67" s="10" t="s">
        <v>74</v>
      </c>
      <c r="G67" s="6"/>
      <c r="H67" s="6"/>
      <c r="I67" s="6">
        <v>3.5</v>
      </c>
      <c r="J67" s="6"/>
      <c r="K67" s="6"/>
      <c r="L67" s="6"/>
      <c r="M67" s="6" t="e">
        <f>VLOOKUP(A67,Merrick!$A$2:$G$46,7,FALSE)</f>
        <v>#N/A</v>
      </c>
      <c r="N67" s="6"/>
      <c r="O67" s="6"/>
    </row>
    <row r="68" spans="1:15" x14ac:dyDescent="0.25">
      <c r="A68" s="11" t="s">
        <v>109</v>
      </c>
      <c r="B68" s="8" t="s">
        <v>60</v>
      </c>
      <c r="C68" s="8" t="s">
        <v>107</v>
      </c>
      <c r="D68" s="8" t="s">
        <v>35</v>
      </c>
      <c r="E68" s="9" t="s">
        <v>19</v>
      </c>
      <c r="F68" s="10" t="s">
        <v>72</v>
      </c>
      <c r="G68" s="6"/>
      <c r="H68" s="6"/>
      <c r="I68" s="6">
        <v>4.8499999999999996</v>
      </c>
      <c r="J68" s="6"/>
      <c r="K68" s="6"/>
      <c r="L68" s="6"/>
      <c r="M68" s="6" t="e">
        <f>VLOOKUP(A68,Merrick!$A$2:$G$46,7,FALSE)</f>
        <v>#N/A</v>
      </c>
      <c r="N68" s="6"/>
      <c r="O68" s="6"/>
    </row>
    <row r="69" spans="1:15" x14ac:dyDescent="0.25">
      <c r="A69" s="11" t="s">
        <v>110</v>
      </c>
      <c r="B69" s="8" t="s">
        <v>60</v>
      </c>
      <c r="C69" s="8" t="s">
        <v>107</v>
      </c>
      <c r="D69" s="8" t="s">
        <v>35</v>
      </c>
      <c r="E69" s="9" t="s">
        <v>19</v>
      </c>
      <c r="F69" s="10" t="s">
        <v>74</v>
      </c>
      <c r="G69" s="6"/>
      <c r="H69" s="6">
        <v>5.4</v>
      </c>
      <c r="I69" s="6">
        <v>4.8499999999999996</v>
      </c>
      <c r="J69" s="6"/>
      <c r="K69" s="6"/>
      <c r="L69" s="6"/>
      <c r="M69" s="6" t="e">
        <f>VLOOKUP(A69,Merrick!$A$2:$G$46,7,FALSE)</f>
        <v>#N/A</v>
      </c>
      <c r="N69" s="6"/>
      <c r="O69" s="6"/>
    </row>
    <row r="70" spans="1:15" x14ac:dyDescent="0.25">
      <c r="A70" s="11" t="s">
        <v>106</v>
      </c>
      <c r="B70" s="8" t="s">
        <v>60</v>
      </c>
      <c r="C70" s="8" t="s">
        <v>107</v>
      </c>
      <c r="D70" s="8" t="s">
        <v>25</v>
      </c>
      <c r="E70" s="9" t="s">
        <v>19</v>
      </c>
      <c r="F70" s="10" t="s">
        <v>72</v>
      </c>
      <c r="G70" s="6"/>
      <c r="H70" s="6"/>
      <c r="I70" s="6">
        <v>3.6</v>
      </c>
      <c r="J70" s="6"/>
      <c r="K70" s="6"/>
      <c r="L70" s="6"/>
      <c r="M70" s="6" t="e">
        <f>VLOOKUP(A70,Merrick!$A$2:$G$46,7,FALSE)</f>
        <v>#N/A</v>
      </c>
      <c r="N70" s="6"/>
      <c r="O70" s="6"/>
    </row>
    <row r="71" spans="1:15" x14ac:dyDescent="0.25">
      <c r="A71" s="11" t="s">
        <v>108</v>
      </c>
      <c r="B71" s="8" t="s">
        <v>60</v>
      </c>
      <c r="C71" s="8" t="s">
        <v>107</v>
      </c>
      <c r="D71" s="8" t="s">
        <v>25</v>
      </c>
      <c r="E71" s="9" t="s">
        <v>19</v>
      </c>
      <c r="F71" s="10" t="s">
        <v>74</v>
      </c>
      <c r="G71" s="6"/>
      <c r="H71" s="6"/>
      <c r="I71" s="6">
        <v>3.6</v>
      </c>
      <c r="J71" s="6"/>
      <c r="K71" s="6"/>
      <c r="L71" s="6"/>
      <c r="M71" s="6" t="e">
        <f>VLOOKUP(A71,Merrick!$A$2:$G$46,7,FALSE)</f>
        <v>#N/A</v>
      </c>
      <c r="N71" s="6"/>
      <c r="O71" s="6"/>
    </row>
    <row r="72" spans="1:15" x14ac:dyDescent="0.25">
      <c r="A72" s="11" t="s">
        <v>113</v>
      </c>
      <c r="B72" s="8" t="s">
        <v>112</v>
      </c>
      <c r="C72" s="8" t="s">
        <v>24</v>
      </c>
      <c r="D72" s="8" t="s">
        <v>35</v>
      </c>
      <c r="E72" s="9" t="s">
        <v>30</v>
      </c>
      <c r="F72" s="10" t="s">
        <v>20</v>
      </c>
      <c r="G72" s="6"/>
      <c r="H72" s="6"/>
      <c r="I72" s="6"/>
      <c r="J72" s="6"/>
      <c r="K72" s="6"/>
      <c r="L72" s="6"/>
      <c r="M72" s="6" t="e">
        <f>VLOOKUP(A72,Merrick!$A$2:$G$46,7,FALSE)</f>
        <v>#N/A</v>
      </c>
      <c r="N72" s="6"/>
      <c r="O72" s="6"/>
    </row>
    <row r="73" spans="1:15" x14ac:dyDescent="0.25">
      <c r="A73" s="11" t="s">
        <v>111</v>
      </c>
      <c r="B73" s="8" t="s">
        <v>112</v>
      </c>
      <c r="C73" s="8" t="s">
        <v>24</v>
      </c>
      <c r="D73" s="8" t="s">
        <v>25</v>
      </c>
      <c r="E73" s="9" t="s">
        <v>30</v>
      </c>
      <c r="F73" s="10" t="s">
        <v>20</v>
      </c>
      <c r="G73" s="6"/>
      <c r="H73" s="6"/>
      <c r="I73" s="6"/>
      <c r="J73" s="6"/>
      <c r="K73" s="6"/>
      <c r="L73" s="6"/>
      <c r="M73" s="6" t="e">
        <f>VLOOKUP(A73,Merrick!$A$2:$G$46,7,FALSE)</f>
        <v>#N/A</v>
      </c>
      <c r="N73" s="6"/>
      <c r="O73" s="6"/>
    </row>
    <row r="74" spans="1:15" x14ac:dyDescent="0.25">
      <c r="A74" s="11" t="s">
        <v>115</v>
      </c>
      <c r="B74" s="8" t="s">
        <v>112</v>
      </c>
      <c r="C74" s="8" t="s">
        <v>43</v>
      </c>
      <c r="D74" s="8" t="s">
        <v>35</v>
      </c>
      <c r="E74" s="9" t="s">
        <v>30</v>
      </c>
      <c r="F74" s="10" t="s">
        <v>20</v>
      </c>
      <c r="G74" s="6"/>
      <c r="H74" s="6"/>
      <c r="I74" s="6"/>
      <c r="J74" s="6"/>
      <c r="K74" s="6"/>
      <c r="L74" s="6"/>
      <c r="M74" s="6" t="e">
        <f>VLOOKUP(A74,Merrick!$A$2:$G$46,7,FALSE)</f>
        <v>#N/A</v>
      </c>
      <c r="N74" s="6"/>
      <c r="O74" s="6"/>
    </row>
    <row r="75" spans="1:15" x14ac:dyDescent="0.25">
      <c r="A75" s="11" t="s">
        <v>114</v>
      </c>
      <c r="B75" s="8" t="s">
        <v>112</v>
      </c>
      <c r="C75" s="8" t="s">
        <v>43</v>
      </c>
      <c r="D75" s="8" t="s">
        <v>25</v>
      </c>
      <c r="E75" s="9" t="s">
        <v>30</v>
      </c>
      <c r="F75" s="10" t="s">
        <v>20</v>
      </c>
      <c r="G75" s="6"/>
      <c r="H75" s="6"/>
      <c r="I75" s="6"/>
      <c r="J75" s="6"/>
      <c r="K75" s="6"/>
      <c r="L75" s="6"/>
      <c r="M75" s="6" t="e">
        <f>VLOOKUP(A75,Merrick!$A$2:$G$46,7,FALSE)</f>
        <v>#N/A</v>
      </c>
      <c r="N75" s="6"/>
      <c r="O75" s="6"/>
    </row>
  </sheetData>
  <autoFilter ref="A1:O75" xr:uid="{00000000-0009-0000-0000-000000000000}">
    <sortState xmlns:xlrd2="http://schemas.microsoft.com/office/spreadsheetml/2017/richdata2" ref="A2:O75">
      <sortCondition ref="A1:A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G8" sqref="G8"/>
    </sheetView>
  </sheetViews>
  <sheetFormatPr defaultRowHeight="15" x14ac:dyDescent="0.25"/>
  <cols>
    <col min="1" max="1" width="19.85546875" customWidth="1"/>
    <col min="2" max="2" width="12.42578125" customWidth="1"/>
    <col min="3" max="3" width="18.28515625" customWidth="1"/>
    <col min="4" max="4" width="23.5703125" bestFit="1" customWidth="1"/>
    <col min="5" max="5" width="12.7109375" customWidth="1"/>
    <col min="9" max="9" width="17.5703125" customWidth="1"/>
    <col min="12" max="12" width="15.85546875" bestFit="1" customWidth="1"/>
    <col min="15" max="15" width="10.28515625" bestFit="1" customWidth="1"/>
    <col min="16" max="16" width="14.42578125" bestFit="1" customWidth="1"/>
    <col min="18" max="18" width="5.5703125" bestFit="1" customWidth="1"/>
    <col min="19" max="19" width="25.7109375" bestFit="1" customWidth="1"/>
  </cols>
  <sheetData>
    <row r="1" spans="1:9" x14ac:dyDescent="0.25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I1" s="15" t="s">
        <v>123</v>
      </c>
    </row>
    <row r="2" spans="1:9" x14ac:dyDescent="0.25">
      <c r="A2" s="16" t="s">
        <v>66</v>
      </c>
      <c r="B2" s="17" t="s">
        <v>124</v>
      </c>
      <c r="C2" s="18" t="s">
        <v>125</v>
      </c>
      <c r="D2" s="13" t="s">
        <v>126</v>
      </c>
      <c r="E2" s="13" t="s">
        <v>127</v>
      </c>
      <c r="F2" s="13" t="s">
        <v>128</v>
      </c>
      <c r="G2" s="14">
        <v>2.68</v>
      </c>
      <c r="I2" t="s">
        <v>129</v>
      </c>
    </row>
    <row r="3" spans="1:9" x14ac:dyDescent="0.25">
      <c r="A3" s="16" t="s">
        <v>62</v>
      </c>
      <c r="B3" s="17" t="s">
        <v>124</v>
      </c>
      <c r="C3" s="18" t="s">
        <v>125</v>
      </c>
      <c r="D3" s="13" t="s">
        <v>130</v>
      </c>
      <c r="E3" s="13" t="s">
        <v>131</v>
      </c>
      <c r="F3" s="13" t="s">
        <v>128</v>
      </c>
      <c r="G3" s="14">
        <v>2.0499999999999998</v>
      </c>
    </row>
    <row r="4" spans="1:9" x14ac:dyDescent="0.25">
      <c r="A4" s="13" t="s">
        <v>132</v>
      </c>
      <c r="B4" s="17" t="s">
        <v>124</v>
      </c>
      <c r="C4" s="18" t="s">
        <v>125</v>
      </c>
      <c r="D4" s="13" t="s">
        <v>133</v>
      </c>
      <c r="E4" s="13" t="s">
        <v>134</v>
      </c>
      <c r="F4" s="13" t="s">
        <v>128</v>
      </c>
      <c r="G4" s="14">
        <v>1</v>
      </c>
    </row>
    <row r="5" spans="1:9" x14ac:dyDescent="0.25">
      <c r="A5" s="16" t="s">
        <v>81</v>
      </c>
      <c r="B5" s="17" t="s">
        <v>124</v>
      </c>
      <c r="C5" s="18" t="s">
        <v>125</v>
      </c>
      <c r="D5" s="13" t="s">
        <v>135</v>
      </c>
      <c r="E5" s="13" t="s">
        <v>127</v>
      </c>
      <c r="F5" s="13" t="s">
        <v>136</v>
      </c>
      <c r="G5" s="14">
        <v>2.4500000000000002</v>
      </c>
    </row>
    <row r="6" spans="1:9" x14ac:dyDescent="0.25">
      <c r="A6" s="13" t="s">
        <v>132</v>
      </c>
      <c r="B6" s="17" t="s">
        <v>124</v>
      </c>
      <c r="C6" s="18" t="s">
        <v>125</v>
      </c>
      <c r="D6" s="13" t="s">
        <v>137</v>
      </c>
      <c r="E6" s="13" t="s">
        <v>131</v>
      </c>
      <c r="F6" s="13" t="s">
        <v>136</v>
      </c>
      <c r="G6" s="14">
        <v>1.9</v>
      </c>
    </row>
    <row r="7" spans="1:9" x14ac:dyDescent="0.25">
      <c r="A7" s="13" t="s">
        <v>132</v>
      </c>
      <c r="B7" s="17" t="s">
        <v>124</v>
      </c>
      <c r="C7" s="18" t="s">
        <v>125</v>
      </c>
      <c r="D7" s="13" t="s">
        <v>138</v>
      </c>
      <c r="E7" s="13" t="s">
        <v>134</v>
      </c>
      <c r="F7" s="13" t="s">
        <v>136</v>
      </c>
      <c r="G7" s="14">
        <v>1.1299999999999999</v>
      </c>
    </row>
    <row r="8" spans="1:9" x14ac:dyDescent="0.25">
      <c r="A8" s="13" t="s">
        <v>132</v>
      </c>
      <c r="B8" s="17" t="s">
        <v>124</v>
      </c>
      <c r="C8" s="18" t="s">
        <v>139</v>
      </c>
      <c r="D8" s="18" t="s">
        <v>140</v>
      </c>
      <c r="E8" s="18" t="s">
        <v>120</v>
      </c>
      <c r="F8" s="18" t="s">
        <v>121</v>
      </c>
      <c r="G8" s="18" t="s">
        <v>122</v>
      </c>
    </row>
    <row r="9" spans="1:9" x14ac:dyDescent="0.25">
      <c r="A9" s="16" t="s">
        <v>86</v>
      </c>
      <c r="B9" s="17" t="s">
        <v>124</v>
      </c>
      <c r="C9" s="18" t="s">
        <v>139</v>
      </c>
      <c r="D9" s="13" t="s">
        <v>141</v>
      </c>
      <c r="E9" s="13" t="s">
        <v>127</v>
      </c>
      <c r="F9" s="13" t="s">
        <v>142</v>
      </c>
      <c r="G9" s="14">
        <v>2.4500000000000002</v>
      </c>
    </row>
    <row r="10" spans="1:9" x14ac:dyDescent="0.25">
      <c r="A10" s="13" t="s">
        <v>132</v>
      </c>
      <c r="B10" s="17" t="s">
        <v>124</v>
      </c>
      <c r="C10" s="18" t="s">
        <v>139</v>
      </c>
      <c r="D10" s="13" t="s">
        <v>143</v>
      </c>
      <c r="E10" s="13" t="s">
        <v>131</v>
      </c>
      <c r="F10" s="13" t="s">
        <v>142</v>
      </c>
      <c r="G10" s="14">
        <v>2</v>
      </c>
    </row>
    <row r="11" spans="1:9" x14ac:dyDescent="0.25">
      <c r="A11" s="13" t="s">
        <v>132</v>
      </c>
      <c r="B11" s="17" t="s">
        <v>124</v>
      </c>
      <c r="C11" s="18" t="s">
        <v>139</v>
      </c>
      <c r="D11" s="13" t="s">
        <v>144</v>
      </c>
      <c r="E11" s="13" t="s">
        <v>134</v>
      </c>
      <c r="F11" s="13" t="s">
        <v>142</v>
      </c>
      <c r="G11" s="14">
        <v>1.2</v>
      </c>
    </row>
    <row r="12" spans="1:9" x14ac:dyDescent="0.25">
      <c r="A12" s="16" t="s">
        <v>93</v>
      </c>
      <c r="B12" s="17" t="s">
        <v>124</v>
      </c>
      <c r="C12" s="18" t="s">
        <v>139</v>
      </c>
      <c r="D12" s="13" t="s">
        <v>145</v>
      </c>
      <c r="E12" s="13" t="s">
        <v>127</v>
      </c>
      <c r="F12" s="13" t="s">
        <v>146</v>
      </c>
      <c r="G12" s="14">
        <v>2.65</v>
      </c>
    </row>
    <row r="13" spans="1:9" x14ac:dyDescent="0.25">
      <c r="A13" s="13" t="s">
        <v>132</v>
      </c>
      <c r="B13" s="17" t="s">
        <v>124</v>
      </c>
      <c r="C13" s="18" t="s">
        <v>139</v>
      </c>
      <c r="D13" s="13" t="s">
        <v>147</v>
      </c>
      <c r="E13" s="13" t="s">
        <v>131</v>
      </c>
      <c r="F13" s="13" t="s">
        <v>146</v>
      </c>
      <c r="G13" s="14">
        <v>2</v>
      </c>
    </row>
    <row r="14" spans="1:9" x14ac:dyDescent="0.25">
      <c r="A14" s="13" t="s">
        <v>132</v>
      </c>
      <c r="B14" s="17" t="s">
        <v>124</v>
      </c>
      <c r="C14" s="18" t="s">
        <v>139</v>
      </c>
      <c r="D14" s="13" t="s">
        <v>148</v>
      </c>
      <c r="E14" s="13" t="s">
        <v>134</v>
      </c>
      <c r="F14" s="13" t="s">
        <v>146</v>
      </c>
      <c r="G14" s="14">
        <v>1.4</v>
      </c>
    </row>
    <row r="15" spans="1:9" x14ac:dyDescent="0.25">
      <c r="A15" s="13" t="s">
        <v>132</v>
      </c>
      <c r="B15" s="17" t="s">
        <v>149</v>
      </c>
      <c r="C15" s="18" t="s">
        <v>125</v>
      </c>
      <c r="D15" s="18" t="s">
        <v>140</v>
      </c>
      <c r="E15" s="18" t="s">
        <v>120</v>
      </c>
      <c r="F15" s="18" t="s">
        <v>121</v>
      </c>
      <c r="G15" s="18" t="s">
        <v>122</v>
      </c>
    </row>
    <row r="16" spans="1:9" x14ac:dyDescent="0.25">
      <c r="A16" s="16" t="s">
        <v>67</v>
      </c>
      <c r="B16" s="17" t="s">
        <v>149</v>
      </c>
      <c r="C16" s="18" t="s">
        <v>125</v>
      </c>
      <c r="D16" s="13" t="s">
        <v>150</v>
      </c>
      <c r="E16" s="13" t="s">
        <v>127</v>
      </c>
      <c r="F16" s="13" t="s">
        <v>128</v>
      </c>
      <c r="G16" s="14">
        <v>3.5</v>
      </c>
    </row>
    <row r="17" spans="1:7" x14ac:dyDescent="0.25">
      <c r="A17" s="13" t="s">
        <v>132</v>
      </c>
      <c r="B17" s="17" t="s">
        <v>149</v>
      </c>
      <c r="C17" s="18" t="s">
        <v>125</v>
      </c>
      <c r="D17" s="13" t="s">
        <v>151</v>
      </c>
      <c r="E17" s="13" t="s">
        <v>131</v>
      </c>
      <c r="F17" s="13" t="s">
        <v>128</v>
      </c>
      <c r="G17" s="14">
        <v>2.0499999999999998</v>
      </c>
    </row>
    <row r="18" spans="1:7" x14ac:dyDescent="0.25">
      <c r="A18" s="13" t="s">
        <v>132</v>
      </c>
      <c r="B18" s="17" t="s">
        <v>149</v>
      </c>
      <c r="C18" s="18" t="s">
        <v>125</v>
      </c>
      <c r="D18" s="13" t="s">
        <v>152</v>
      </c>
      <c r="E18" s="13" t="s">
        <v>134</v>
      </c>
      <c r="F18" s="13" t="s">
        <v>128</v>
      </c>
      <c r="G18" s="14">
        <v>0.9</v>
      </c>
    </row>
    <row r="19" spans="1:7" x14ac:dyDescent="0.25">
      <c r="A19" s="13" t="s">
        <v>132</v>
      </c>
      <c r="B19" s="17" t="s">
        <v>149</v>
      </c>
      <c r="C19" s="18" t="s">
        <v>125</v>
      </c>
      <c r="D19" s="13"/>
      <c r="E19" s="13"/>
      <c r="F19" s="13"/>
      <c r="G19" s="13"/>
    </row>
    <row r="20" spans="1:7" x14ac:dyDescent="0.25">
      <c r="A20" s="13" t="s">
        <v>132</v>
      </c>
      <c r="B20" s="17" t="s">
        <v>149</v>
      </c>
      <c r="C20" s="18" t="s">
        <v>125</v>
      </c>
      <c r="D20" s="13" t="s">
        <v>153</v>
      </c>
      <c r="E20" s="13" t="s">
        <v>127</v>
      </c>
      <c r="F20" s="13" t="s">
        <v>136</v>
      </c>
      <c r="G20" s="14">
        <v>3.4</v>
      </c>
    </row>
    <row r="21" spans="1:7" x14ac:dyDescent="0.25">
      <c r="A21" s="13" t="s">
        <v>132</v>
      </c>
      <c r="B21" s="17" t="s">
        <v>149</v>
      </c>
      <c r="C21" s="18" t="s">
        <v>125</v>
      </c>
      <c r="D21" s="13" t="s">
        <v>154</v>
      </c>
      <c r="E21" s="13" t="s">
        <v>131</v>
      </c>
      <c r="F21" s="13" t="s">
        <v>136</v>
      </c>
      <c r="G21" s="14">
        <v>2.4500000000000002</v>
      </c>
    </row>
    <row r="22" spans="1:7" x14ac:dyDescent="0.25">
      <c r="A22" s="13" t="s">
        <v>132</v>
      </c>
      <c r="B22" s="17" t="s">
        <v>149</v>
      </c>
      <c r="C22" s="18" t="s">
        <v>125</v>
      </c>
      <c r="D22" s="13" t="s">
        <v>155</v>
      </c>
      <c r="E22" s="13" t="s">
        <v>134</v>
      </c>
      <c r="F22" s="13" t="s">
        <v>136</v>
      </c>
      <c r="G22" s="14">
        <v>1.4</v>
      </c>
    </row>
    <row r="23" spans="1:7" x14ac:dyDescent="0.25">
      <c r="A23" s="13" t="s">
        <v>132</v>
      </c>
      <c r="B23" s="17" t="s">
        <v>149</v>
      </c>
      <c r="C23" s="18" t="s">
        <v>125</v>
      </c>
      <c r="D23" s="13" t="s">
        <v>156</v>
      </c>
      <c r="E23" s="13" t="s">
        <v>157</v>
      </c>
      <c r="F23" s="13" t="s">
        <v>136</v>
      </c>
      <c r="G23" s="14">
        <v>2</v>
      </c>
    </row>
    <row r="24" spans="1:7" x14ac:dyDescent="0.25">
      <c r="A24" s="13" t="s">
        <v>132</v>
      </c>
      <c r="B24" s="17" t="s">
        <v>149</v>
      </c>
      <c r="C24" s="18" t="s">
        <v>139</v>
      </c>
      <c r="D24" s="18" t="s">
        <v>140</v>
      </c>
      <c r="E24" s="18" t="s">
        <v>120</v>
      </c>
      <c r="F24" s="18" t="s">
        <v>121</v>
      </c>
      <c r="G24" s="18" t="s">
        <v>122</v>
      </c>
    </row>
    <row r="25" spans="1:7" x14ac:dyDescent="0.25">
      <c r="A25" s="16" t="s">
        <v>88</v>
      </c>
      <c r="B25" s="17" t="s">
        <v>149</v>
      </c>
      <c r="C25" s="18" t="s">
        <v>139</v>
      </c>
      <c r="D25" s="13" t="s">
        <v>158</v>
      </c>
      <c r="E25" s="13" t="s">
        <v>127</v>
      </c>
      <c r="F25" s="13" t="s">
        <v>142</v>
      </c>
      <c r="G25" s="14">
        <v>4.25</v>
      </c>
    </row>
    <row r="26" spans="1:7" x14ac:dyDescent="0.25">
      <c r="A26" s="13" t="s">
        <v>132</v>
      </c>
      <c r="B26" s="17" t="s">
        <v>149</v>
      </c>
      <c r="C26" s="18" t="s">
        <v>139</v>
      </c>
      <c r="D26" s="13" t="s">
        <v>159</v>
      </c>
      <c r="E26" s="13" t="s">
        <v>131</v>
      </c>
      <c r="F26" s="13" t="s">
        <v>142</v>
      </c>
      <c r="G26" s="14">
        <v>2.8</v>
      </c>
    </row>
    <row r="27" spans="1:7" x14ac:dyDescent="0.25">
      <c r="A27" s="13" t="s">
        <v>132</v>
      </c>
      <c r="B27" s="17" t="s">
        <v>149</v>
      </c>
      <c r="C27" s="18" t="s">
        <v>139</v>
      </c>
      <c r="D27" s="13" t="s">
        <v>160</v>
      </c>
      <c r="E27" s="13" t="s">
        <v>134</v>
      </c>
      <c r="F27" s="13" t="s">
        <v>142</v>
      </c>
      <c r="G27" s="14">
        <v>1.5</v>
      </c>
    </row>
    <row r="28" spans="1:7" x14ac:dyDescent="0.25">
      <c r="A28" s="13" t="s">
        <v>132</v>
      </c>
      <c r="B28" s="17" t="s">
        <v>149</v>
      </c>
      <c r="C28" s="18" t="s">
        <v>139</v>
      </c>
      <c r="D28" s="13" t="s">
        <v>161</v>
      </c>
      <c r="E28" s="13" t="s">
        <v>157</v>
      </c>
      <c r="F28" s="13" t="s">
        <v>142</v>
      </c>
      <c r="G28" s="14">
        <v>2.8</v>
      </c>
    </row>
    <row r="29" spans="1:7" x14ac:dyDescent="0.25">
      <c r="A29" s="16" t="s">
        <v>99</v>
      </c>
      <c r="B29" s="17" t="s">
        <v>149</v>
      </c>
      <c r="C29" s="18" t="s">
        <v>139</v>
      </c>
      <c r="D29" s="13" t="s">
        <v>162</v>
      </c>
      <c r="E29" s="13" t="s">
        <v>127</v>
      </c>
      <c r="F29" s="13" t="s">
        <v>146</v>
      </c>
      <c r="G29" s="14">
        <v>4.6500000000000004</v>
      </c>
    </row>
    <row r="30" spans="1:7" x14ac:dyDescent="0.25">
      <c r="A30" s="13" t="s">
        <v>132</v>
      </c>
      <c r="B30" s="17" t="s">
        <v>149</v>
      </c>
      <c r="C30" s="18" t="s">
        <v>139</v>
      </c>
      <c r="D30" s="13" t="s">
        <v>163</v>
      </c>
      <c r="E30" s="13" t="s">
        <v>131</v>
      </c>
      <c r="F30" s="13" t="s">
        <v>146</v>
      </c>
      <c r="G30" s="14">
        <v>3.1</v>
      </c>
    </row>
    <row r="31" spans="1:7" x14ac:dyDescent="0.25">
      <c r="A31" s="13" t="s">
        <v>132</v>
      </c>
      <c r="B31" s="17" t="s">
        <v>149</v>
      </c>
      <c r="C31" s="18" t="s">
        <v>139</v>
      </c>
      <c r="D31" s="13" t="s">
        <v>164</v>
      </c>
      <c r="E31" s="13" t="s">
        <v>134</v>
      </c>
      <c r="F31" s="13" t="s">
        <v>146</v>
      </c>
      <c r="G31" s="14">
        <v>1.9</v>
      </c>
    </row>
    <row r="32" spans="1:7" x14ac:dyDescent="0.25">
      <c r="A32" s="13" t="s">
        <v>132</v>
      </c>
      <c r="B32" s="17" t="s">
        <v>149</v>
      </c>
      <c r="C32" s="18" t="s">
        <v>139</v>
      </c>
      <c r="D32" s="13" t="s">
        <v>165</v>
      </c>
      <c r="E32" s="13" t="s">
        <v>157</v>
      </c>
      <c r="F32" s="13" t="s">
        <v>146</v>
      </c>
      <c r="G32" s="14">
        <v>3.1</v>
      </c>
    </row>
    <row r="33" spans="1:7" x14ac:dyDescent="0.25">
      <c r="A33" s="13" t="s">
        <v>132</v>
      </c>
      <c r="B33" s="17" t="s">
        <v>166</v>
      </c>
      <c r="C33" s="18" t="s">
        <v>167</v>
      </c>
      <c r="D33" s="18" t="s">
        <v>140</v>
      </c>
      <c r="E33" s="18" t="s">
        <v>120</v>
      </c>
      <c r="F33" s="18" t="s">
        <v>121</v>
      </c>
      <c r="G33" s="18" t="s">
        <v>122</v>
      </c>
    </row>
    <row r="34" spans="1:7" x14ac:dyDescent="0.25">
      <c r="A34" s="16" t="s">
        <v>62</v>
      </c>
      <c r="B34" s="17" t="s">
        <v>166</v>
      </c>
      <c r="C34" s="18" t="s">
        <v>167</v>
      </c>
      <c r="D34" s="13" t="s">
        <v>168</v>
      </c>
      <c r="E34" s="13" t="s">
        <v>169</v>
      </c>
      <c r="F34" s="13" t="s">
        <v>128</v>
      </c>
      <c r="G34" s="14">
        <v>4.25</v>
      </c>
    </row>
    <row r="35" spans="1:7" x14ac:dyDescent="0.25">
      <c r="A35" s="13" t="s">
        <v>132</v>
      </c>
      <c r="B35" s="17" t="s">
        <v>166</v>
      </c>
      <c r="C35" s="18" t="s">
        <v>167</v>
      </c>
      <c r="D35" s="13" t="s">
        <v>170</v>
      </c>
      <c r="E35" s="13" t="s">
        <v>171</v>
      </c>
      <c r="F35" s="13" t="s">
        <v>128</v>
      </c>
      <c r="G35" s="14">
        <v>3.75</v>
      </c>
    </row>
    <row r="36" spans="1:7" x14ac:dyDescent="0.25">
      <c r="A36" s="13" t="s">
        <v>132</v>
      </c>
      <c r="B36" s="17" t="s">
        <v>166</v>
      </c>
      <c r="C36" s="18" t="s">
        <v>167</v>
      </c>
      <c r="D36" s="13" t="s">
        <v>172</v>
      </c>
      <c r="E36" s="13" t="s">
        <v>173</v>
      </c>
      <c r="F36" s="13" t="s">
        <v>128</v>
      </c>
      <c r="G36" s="14">
        <v>2.1</v>
      </c>
    </row>
    <row r="37" spans="1:7" x14ac:dyDescent="0.25">
      <c r="A37" s="13" t="s">
        <v>132</v>
      </c>
      <c r="B37" s="17" t="s">
        <v>166</v>
      </c>
      <c r="C37" s="18" t="s">
        <v>174</v>
      </c>
      <c r="D37" s="18" t="s">
        <v>140</v>
      </c>
      <c r="E37" s="18" t="s">
        <v>120</v>
      </c>
      <c r="F37" s="18" t="s">
        <v>121</v>
      </c>
      <c r="G37" s="18" t="s">
        <v>122</v>
      </c>
    </row>
    <row r="38" spans="1:7" x14ac:dyDescent="0.25">
      <c r="A38" s="16" t="s">
        <v>80</v>
      </c>
      <c r="B38" s="17" t="s">
        <v>166</v>
      </c>
      <c r="C38" s="18" t="s">
        <v>174</v>
      </c>
      <c r="D38" s="13" t="s">
        <v>175</v>
      </c>
      <c r="E38" s="13" t="s">
        <v>169</v>
      </c>
      <c r="F38" s="13" t="s">
        <v>136</v>
      </c>
      <c r="G38" s="14">
        <v>4.25</v>
      </c>
    </row>
    <row r="39" spans="1:7" x14ac:dyDescent="0.25">
      <c r="A39" s="13" t="s">
        <v>132</v>
      </c>
      <c r="B39" s="17" t="s">
        <v>166</v>
      </c>
      <c r="C39" s="18" t="s">
        <v>174</v>
      </c>
      <c r="D39" s="13" t="s">
        <v>176</v>
      </c>
      <c r="E39" s="13" t="s">
        <v>171</v>
      </c>
      <c r="F39" s="13" t="s">
        <v>136</v>
      </c>
      <c r="G39" s="14">
        <v>2.75</v>
      </c>
    </row>
    <row r="40" spans="1:7" x14ac:dyDescent="0.25">
      <c r="A40" s="13" t="s">
        <v>132</v>
      </c>
      <c r="B40" s="17" t="s">
        <v>166</v>
      </c>
      <c r="C40" s="18" t="s">
        <v>174</v>
      </c>
      <c r="D40" s="13" t="s">
        <v>177</v>
      </c>
      <c r="E40" s="13" t="s">
        <v>173</v>
      </c>
      <c r="F40" s="13" t="s">
        <v>136</v>
      </c>
      <c r="G40" s="14">
        <v>1.8</v>
      </c>
    </row>
    <row r="41" spans="1:7" x14ac:dyDescent="0.25">
      <c r="A41" s="13" t="s">
        <v>132</v>
      </c>
      <c r="B41" s="17" t="s">
        <v>178</v>
      </c>
      <c r="C41" s="18" t="s">
        <v>125</v>
      </c>
      <c r="D41" s="18" t="s">
        <v>140</v>
      </c>
      <c r="E41" s="18" t="s">
        <v>120</v>
      </c>
      <c r="F41" s="18" t="s">
        <v>121</v>
      </c>
      <c r="G41" s="18" t="s">
        <v>122</v>
      </c>
    </row>
    <row r="42" spans="1:7" x14ac:dyDescent="0.25">
      <c r="A42" s="13" t="s">
        <v>132</v>
      </c>
      <c r="B42" s="17" t="s">
        <v>178</v>
      </c>
      <c r="C42" s="18" t="s">
        <v>125</v>
      </c>
      <c r="D42" s="13" t="s">
        <v>179</v>
      </c>
      <c r="E42" s="13" t="s">
        <v>157</v>
      </c>
      <c r="F42" s="13" t="s">
        <v>128</v>
      </c>
      <c r="G42" s="14">
        <v>1.8</v>
      </c>
    </row>
    <row r="43" spans="1:7" x14ac:dyDescent="0.25">
      <c r="A43" s="13" t="s">
        <v>132</v>
      </c>
      <c r="B43" s="17" t="s">
        <v>178</v>
      </c>
      <c r="C43" s="18" t="s">
        <v>125</v>
      </c>
      <c r="D43" s="13" t="s">
        <v>180</v>
      </c>
      <c r="E43" s="13" t="s">
        <v>157</v>
      </c>
      <c r="F43" s="13" t="s">
        <v>136</v>
      </c>
      <c r="G43" s="14">
        <v>3.7</v>
      </c>
    </row>
    <row r="44" spans="1:7" x14ac:dyDescent="0.25">
      <c r="A44" s="13" t="s">
        <v>132</v>
      </c>
      <c r="B44" s="17" t="s">
        <v>178</v>
      </c>
      <c r="C44" s="18" t="s">
        <v>139</v>
      </c>
      <c r="D44" s="18" t="s">
        <v>140</v>
      </c>
      <c r="E44" s="18" t="s">
        <v>120</v>
      </c>
      <c r="F44" s="18" t="s">
        <v>121</v>
      </c>
      <c r="G44" s="18" t="s">
        <v>122</v>
      </c>
    </row>
    <row r="45" spans="1:7" x14ac:dyDescent="0.25">
      <c r="A45" s="13" t="s">
        <v>132</v>
      </c>
      <c r="B45" s="17" t="s">
        <v>178</v>
      </c>
      <c r="C45" s="18" t="s">
        <v>139</v>
      </c>
      <c r="D45" s="13" t="s">
        <v>181</v>
      </c>
      <c r="E45" s="13" t="s">
        <v>157</v>
      </c>
      <c r="F45" s="13" t="s">
        <v>142</v>
      </c>
      <c r="G45" s="14">
        <v>3.45</v>
      </c>
    </row>
    <row r="46" spans="1:7" x14ac:dyDescent="0.25">
      <c r="A46" s="13" t="s">
        <v>132</v>
      </c>
      <c r="B46" s="17" t="s">
        <v>178</v>
      </c>
      <c r="C46" s="18" t="s">
        <v>139</v>
      </c>
      <c r="D46" s="13" t="s">
        <v>182</v>
      </c>
      <c r="E46" s="13" t="s">
        <v>157</v>
      </c>
      <c r="F46" s="13" t="s">
        <v>146</v>
      </c>
      <c r="G46" s="14">
        <v>3.5</v>
      </c>
    </row>
  </sheetData>
  <autoFilter ref="A1:G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>
      <selection activeCell="I17" sqref="I17"/>
    </sheetView>
  </sheetViews>
  <sheetFormatPr defaultRowHeight="15" x14ac:dyDescent="0.25"/>
  <cols>
    <col min="1" max="1" width="14" customWidth="1"/>
    <col min="2" max="2" width="16.7109375" customWidth="1"/>
    <col min="3" max="7" width="15.140625" customWidth="1"/>
  </cols>
  <sheetData>
    <row r="1" spans="1:7" x14ac:dyDescent="0.25">
      <c r="A1" s="21" t="s">
        <v>208</v>
      </c>
      <c r="B1" s="21" t="s">
        <v>185</v>
      </c>
      <c r="C1" s="21" t="s">
        <v>186</v>
      </c>
      <c r="D1" s="21" t="s">
        <v>187</v>
      </c>
      <c r="E1" s="21" t="s">
        <v>186</v>
      </c>
      <c r="F1" s="21" t="s">
        <v>188</v>
      </c>
      <c r="G1" s="21" t="s">
        <v>189</v>
      </c>
    </row>
    <row r="2" spans="1:7" x14ac:dyDescent="0.25">
      <c r="A2" s="22" t="s">
        <v>11</v>
      </c>
      <c r="B2" s="22" t="s">
        <v>190</v>
      </c>
      <c r="C2" s="22" t="s">
        <v>191</v>
      </c>
      <c r="D2" s="22" t="s">
        <v>192</v>
      </c>
      <c r="E2" s="22" t="s">
        <v>193</v>
      </c>
      <c r="F2" s="22">
        <v>40</v>
      </c>
      <c r="G2" s="23">
        <v>3295</v>
      </c>
    </row>
    <row r="3" spans="1:7" x14ac:dyDescent="0.25">
      <c r="A3" s="22" t="s">
        <v>209</v>
      </c>
      <c r="B3" s="22" t="s">
        <v>194</v>
      </c>
      <c r="C3" s="22" t="s">
        <v>191</v>
      </c>
      <c r="D3" s="22" t="s">
        <v>192</v>
      </c>
      <c r="E3" s="22" t="s">
        <v>193</v>
      </c>
      <c r="F3" s="22">
        <v>40</v>
      </c>
      <c r="G3" s="23">
        <v>3095</v>
      </c>
    </row>
    <row r="4" spans="1:7" x14ac:dyDescent="0.25">
      <c r="A4" s="22" t="s">
        <v>197</v>
      </c>
      <c r="B4" s="22" t="s">
        <v>195</v>
      </c>
      <c r="C4" s="22" t="s">
        <v>196</v>
      </c>
      <c r="D4" s="22" t="s">
        <v>192</v>
      </c>
      <c r="E4" s="22" t="s">
        <v>193</v>
      </c>
      <c r="F4" s="22">
        <v>40</v>
      </c>
      <c r="G4" s="23">
        <v>3195</v>
      </c>
    </row>
    <row r="5" spans="1:7" x14ac:dyDescent="0.25">
      <c r="A5" s="22"/>
      <c r="B5" s="22" t="s">
        <v>198</v>
      </c>
      <c r="C5" s="22" t="s">
        <v>199</v>
      </c>
      <c r="D5" s="22" t="s">
        <v>192</v>
      </c>
      <c r="E5" s="22" t="s">
        <v>193</v>
      </c>
      <c r="F5" s="22">
        <v>40</v>
      </c>
      <c r="G5" s="23">
        <v>2425</v>
      </c>
    </row>
    <row r="6" spans="1:7" x14ac:dyDescent="0.25">
      <c r="A6" s="22" t="s">
        <v>9</v>
      </c>
      <c r="B6" s="22" t="s">
        <v>9</v>
      </c>
      <c r="C6" s="22" t="s">
        <v>191</v>
      </c>
      <c r="D6" s="22" t="s">
        <v>192</v>
      </c>
      <c r="E6" s="22" t="s">
        <v>193</v>
      </c>
      <c r="F6" s="22">
        <v>40</v>
      </c>
      <c r="G6" s="23">
        <v>3295</v>
      </c>
    </row>
    <row r="7" spans="1:7" x14ac:dyDescent="0.25">
      <c r="A7" s="22" t="s">
        <v>202</v>
      </c>
      <c r="B7" s="22" t="s">
        <v>200</v>
      </c>
      <c r="C7" s="22" t="s">
        <v>201</v>
      </c>
      <c r="D7" s="22" t="s">
        <v>192</v>
      </c>
      <c r="E7" s="22" t="s">
        <v>193</v>
      </c>
      <c r="F7" s="22">
        <v>40</v>
      </c>
      <c r="G7" s="23">
        <v>2395</v>
      </c>
    </row>
    <row r="8" spans="1:7" x14ac:dyDescent="0.25">
      <c r="A8" s="22" t="s">
        <v>14</v>
      </c>
      <c r="B8" s="22" t="s">
        <v>203</v>
      </c>
      <c r="C8" s="22" t="s">
        <v>204</v>
      </c>
      <c r="D8" s="22" t="s">
        <v>192</v>
      </c>
      <c r="E8" s="22" t="s">
        <v>193</v>
      </c>
      <c r="F8" s="22">
        <v>40</v>
      </c>
      <c r="G8" s="23">
        <v>3595</v>
      </c>
    </row>
    <row r="9" spans="1:7" x14ac:dyDescent="0.25">
      <c r="A9" s="22" t="s">
        <v>8</v>
      </c>
      <c r="B9" s="22" t="s">
        <v>205</v>
      </c>
      <c r="C9" s="22" t="s">
        <v>206</v>
      </c>
      <c r="D9" s="22" t="s">
        <v>192</v>
      </c>
      <c r="E9" s="22" t="s">
        <v>193</v>
      </c>
      <c r="F9" s="22">
        <v>40</v>
      </c>
      <c r="G9" s="23">
        <v>2595</v>
      </c>
    </row>
    <row r="10" spans="1:7" x14ac:dyDescent="0.25">
      <c r="A10" s="22"/>
      <c r="B10" s="22" t="s">
        <v>207</v>
      </c>
      <c r="C10" s="22" t="s">
        <v>206</v>
      </c>
      <c r="D10" s="22" t="s">
        <v>192</v>
      </c>
      <c r="E10" s="22" t="s">
        <v>193</v>
      </c>
      <c r="F10" s="22">
        <v>40</v>
      </c>
      <c r="G10" s="23">
        <v>2195</v>
      </c>
    </row>
    <row r="11" spans="1:7" x14ac:dyDescent="0.25">
      <c r="A11" s="22" t="s">
        <v>7</v>
      </c>
      <c r="B11" s="22"/>
      <c r="C11" s="22"/>
      <c r="D11" s="22" t="s">
        <v>192</v>
      </c>
      <c r="E11" s="22" t="s">
        <v>193</v>
      </c>
      <c r="F11" s="22">
        <v>40</v>
      </c>
      <c r="G11" s="23">
        <v>0</v>
      </c>
    </row>
    <row r="12" spans="1:7" x14ac:dyDescent="0.25">
      <c r="A12" s="22" t="s">
        <v>10</v>
      </c>
      <c r="B12" s="22"/>
      <c r="C12" s="22"/>
      <c r="D12" s="22" t="s">
        <v>192</v>
      </c>
      <c r="E12" s="22" t="s">
        <v>193</v>
      </c>
      <c r="F12" s="22">
        <v>40</v>
      </c>
      <c r="G12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Pricing</vt:lpstr>
      <vt:lpstr>Merrick</vt:lpstr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2026-04-13T16:11:35Z</dcterms:created>
  <dcterms:modified xsi:type="dcterms:W3CDTF">2026-04-14T01:21:20Z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0x010100DCF513837467E64E89D611AD1F991EBD</vt:lpwstr>
  </property>
</Properties>
</file>