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5B9A39B5-E757-4402-9E29-27C6FE3AC2AD}" xr6:coauthVersionLast="47" xr6:coauthVersionMax="47" xr10:uidLastSave="{00000000-0000-0000-0000-000000000000}"/>
  <bookViews>
    <workbookView xWindow="28680" yWindow="-120" windowWidth="29040" windowHeight="15720" xr2:uid="{E17355F2-06BD-4985-B6D4-D142D1A153A2}"/>
  </bookViews>
  <sheets>
    <sheet name="Sheet1" sheetId="1" r:id="rId1"/>
  </sheets>
  <definedNames>
    <definedName name="_xlnm._FilterDatabase" localSheetId="0" hidden="1">Sheet1!$A$1:$H$413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<sst xmlns="http://schemas.openxmlformats.org/spreadsheetml/2006/main" count="246" uniqueCount="119">
  <si>
    <t>ITEM NUMBER</t>
  </si>
  <si>
    <t>UNCOAC12</t>
  </si>
  <si>
    <t>UNCOAC14</t>
  </si>
  <si>
    <t>RQ5FMS</t>
  </si>
  <si>
    <t>RQ5SWS</t>
  </si>
  <si>
    <t>RH21RS</t>
  </si>
  <si>
    <t>RQ214FMS</t>
  </si>
  <si>
    <t>RQ3SOS</t>
  </si>
  <si>
    <t>RQ3SRS</t>
  </si>
  <si>
    <t>RQ3SRB</t>
  </si>
  <si>
    <t>RQ314FMS</t>
  </si>
  <si>
    <t>RQ314SDS</t>
  </si>
  <si>
    <t>RQ4SOB</t>
  </si>
  <si>
    <t>RQ4SRS</t>
  </si>
  <si>
    <t>RQ4SRB</t>
  </si>
  <si>
    <t>RQ5SOS</t>
  </si>
  <si>
    <t>RQ5SOB</t>
  </si>
  <si>
    <t>RQ5SRS</t>
  </si>
  <si>
    <t>RQ5SRB</t>
  </si>
  <si>
    <t>RQ6SOS</t>
  </si>
  <si>
    <t>RQ6SOB</t>
  </si>
  <si>
    <t>RQ7SOS</t>
  </si>
  <si>
    <t>RQ7SOB</t>
  </si>
  <si>
    <t>RQ7SRS</t>
  </si>
  <si>
    <t>RQ214QOSSP</t>
  </si>
  <si>
    <t>RQ314QOSSP</t>
  </si>
  <si>
    <t>RH112SOSNB</t>
  </si>
  <si>
    <t>RH2QOSNB</t>
  </si>
  <si>
    <t>RH2QRSNB</t>
  </si>
  <si>
    <t>RQ112SOSNB</t>
  </si>
  <si>
    <t>RQ112SRSNB</t>
  </si>
  <si>
    <t>RH21OSNB</t>
  </si>
  <si>
    <t>RH2QRSNB-24</t>
  </si>
  <si>
    <t>RH112SRSNB-24</t>
  </si>
  <si>
    <t>RH112SOSNB-24</t>
  </si>
  <si>
    <t>RH112QOSNB-24</t>
  </si>
  <si>
    <t>RH112QRSNB-24</t>
  </si>
  <si>
    <t>RH2QOSNB-24</t>
  </si>
  <si>
    <t>RQ5SRSI</t>
  </si>
  <si>
    <t>RH112SOSNB-15</t>
  </si>
  <si>
    <t>RH112SRSNB-15</t>
  </si>
  <si>
    <t>RH112QOSNB-15</t>
  </si>
  <si>
    <t>RH2QOSNB-20</t>
  </si>
  <si>
    <t>PFSHEO338</t>
  </si>
  <si>
    <t>PFSHEO538</t>
  </si>
  <si>
    <t>PFSHSO238</t>
  </si>
  <si>
    <t>RH2SRS</t>
  </si>
  <si>
    <t>RQ214SOSSP</t>
  </si>
  <si>
    <t>RQ214SRSSP</t>
  </si>
  <si>
    <t>RQ314SOSSP</t>
  </si>
  <si>
    <t>RQ314SRSSP</t>
  </si>
  <si>
    <t>RH2SOSNB</t>
  </si>
  <si>
    <t>RH2SRSNB</t>
  </si>
  <si>
    <t>RH2SOSNB-24</t>
  </si>
  <si>
    <t>RQ214SRS-16</t>
  </si>
  <si>
    <t>RQ214SOS-16</t>
  </si>
  <si>
    <t>Lebanon</t>
  </si>
  <si>
    <t>Dayspring</t>
  </si>
  <si>
    <t>VENDOR</t>
  </si>
  <si>
    <t>DAYSPRING</t>
  </si>
  <si>
    <t>LEBANON</t>
  </si>
  <si>
    <t>INDIANA</t>
  </si>
  <si>
    <t>ORILLIA</t>
  </si>
  <si>
    <t>MULLICAN</t>
  </si>
  <si>
    <t>ANTHONY</t>
  </si>
  <si>
    <t>MACON</t>
  </si>
  <si>
    <t>RQ6SRB</t>
  </si>
  <si>
    <t>RQ6SRS</t>
  </si>
  <si>
    <t>RQ7SRB</t>
  </si>
  <si>
    <t>RQ3SOB</t>
  </si>
  <si>
    <t>RQ4SOS</t>
  </si>
  <si>
    <t>RQ5SOSD</t>
  </si>
  <si>
    <t>DF512PI</t>
  </si>
  <si>
    <t>DF512PIL</t>
  </si>
  <si>
    <t>ADD UP</t>
  </si>
  <si>
    <t>OMP-SKU</t>
  </si>
  <si>
    <t>SPECIES</t>
  </si>
  <si>
    <t>DESCRIPTION</t>
  </si>
  <si>
    <t>SF AVAILABLE</t>
  </si>
  <si>
    <t>SF ONHAND</t>
  </si>
  <si>
    <t>SF 
EMU</t>
  </si>
  <si>
    <t>SF 
ON ORDER</t>
  </si>
  <si>
    <t>W/O</t>
  </si>
  <si>
    <t>R/O</t>
  </si>
  <si>
    <t>1/2 x 1 1/2" R&amp;Q W/O NESTED BNDL</t>
  </si>
  <si>
    <t>1/2 x 1 1/2" R&amp;Q W/O NESTED</t>
  </si>
  <si>
    <t>TOTAL</t>
  </si>
  <si>
    <t>RH112QRSNB-15</t>
  </si>
  <si>
    <t>1/2 x 1 1/2" R&amp;Q R/O NESTED BNDL</t>
  </si>
  <si>
    <t>1/2 x 1 1/2" R&amp;Q R/O NESTED</t>
  </si>
  <si>
    <t>RH112QRSNB*</t>
  </si>
  <si>
    <t>1/2 x 1 1/2 SELECT W/O NESTED</t>
  </si>
  <si>
    <t>1/2 x 1-1/2" SELECT W/O NESTED</t>
  </si>
  <si>
    <t>1/2 x 1 1/2" SELECT W/O</t>
  </si>
  <si>
    <t>RH112SRSNB</t>
  </si>
  <si>
    <t>1/2 x 1 1/2 SELECT R/O NESTED</t>
  </si>
  <si>
    <t>1/2 x 1-1/2" SELECT R/O NESTED</t>
  </si>
  <si>
    <t>1/2 X 1 1/2" SELECT R/O</t>
  </si>
  <si>
    <t>1/2 x 2" RIFT/QTR W/O Lebanon</t>
  </si>
  <si>
    <t>1/2 x 2" RIFT/QTR W/O Orillia</t>
  </si>
  <si>
    <t>1/2 x 2" RIFT/QTR W/O Dayspring</t>
  </si>
  <si>
    <t>RH2QOSNB*</t>
  </si>
  <si>
    <t xml:space="preserve">1/2 x 2" RIFT/QTR W/O </t>
  </si>
  <si>
    <t>1/2 x 2" RIFT/QTR R/O Lebanon</t>
  </si>
  <si>
    <t>RH2QRSNB-20</t>
  </si>
  <si>
    <t>1/2 x 2" RIFT/QTR R/O Orillia</t>
  </si>
  <si>
    <t>1/2 x 2" RIFT/QTR R/O Dayspring</t>
  </si>
  <si>
    <t>RH2QRSNB*</t>
  </si>
  <si>
    <t xml:space="preserve">1/2 x 2" RIFT/QTR R/O </t>
  </si>
  <si>
    <t>FIR</t>
  </si>
  <si>
    <t>3/4 X 3 1/4 DOUGLAS FIR</t>
  </si>
  <si>
    <t>RT112SOS</t>
  </si>
  <si>
    <t>3/8 x 1-1/2" SELECT W/O BF</t>
  </si>
  <si>
    <t>RT112SRS</t>
  </si>
  <si>
    <t>3/8 x 1-1/2" SELECT R/O BF (DNS)</t>
  </si>
  <si>
    <t>RT2SOSNB-24</t>
  </si>
  <si>
    <t>3/8 x 2" SEL W/O NESTED BNDL</t>
  </si>
  <si>
    <t>RT2SRSNB-24</t>
  </si>
  <si>
    <t>3/8 x 2 SELECT R/O  24SF BNDL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</si>
</sst>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5531-BEF2-4A42-879E-1E7290B432C6}">
  <dimension ref="A1:AB56"/>
  <sheetViews>
    <sheetView tabSelected="1" workbookViewId="0">
      <selection activeCell="O13" sqref="O13"/>
    </sheetView>
  </sheetViews>
  <sheetFormatPr defaultRowHeight="15" x14ac:dyDescent="0.25"/>
  <cols>
    <col min="1" max="1" width="16.28515625" style="1" bestFit="1" customWidth="1"/>
    <col min="2" max="2" width="13.7109375" style="1" bestFit="1" customWidth="1"/>
    <col min="3" max="3" width="11.85546875" style="1" bestFit="1" customWidth="1"/>
    <col min="4" max="4" width="10" style="1" bestFit="1" customWidth="1"/>
    <col min="5" max="5" width="11.140625" style="1" bestFit="1" customWidth="1"/>
    <col min="6" max="6" width="12.7109375" style="1" bestFit="1" customWidth="1"/>
    <col min="7" max="7" width="12.28515625" style="1" bestFit="1" customWidth="1"/>
    <col min="8" max="8" width="10.42578125" style="1" bestFit="1" customWidth="1"/>
    <col min="10" max="10" width="12.5703125" bestFit="1" customWidth="1"/>
    <col min="11" max="11" width="9.5703125" bestFit="1" customWidth="1"/>
    <col min="12" max="12" width="7.7109375" bestFit="1" customWidth="1"/>
    <col min="13" max="16" width="12.5703125" bestFit="1" customWidth="1"/>
    <col min="18" max="18" width="9.7109375" bestFit="1" customWidth="1"/>
    <col min="19" max="19" width="5" bestFit="1" customWidth="1"/>
    <col min="21" max="21" width="15.7109375" bestFit="1" customWidth="1"/>
    <col min="22" max="22" width="7.85546875" bestFit="1" customWidth="1"/>
    <col min="23" max="23" width="32.85546875" bestFit="1" customWidth="1"/>
    <col min="24" max="24" width="11.140625" bestFit="1" customWidth="1"/>
    <col min="25" max="25" width="13.140625" bestFit="1" customWidth="1"/>
    <col min="26" max="26" width="11.5703125" bestFit="1" customWidth="1"/>
    <col min="27" max="27" width="12" bestFit="1" customWidth="1"/>
    <col min="28" max="28" width="14" bestFit="1" customWidth="1"/>
  </cols>
  <sheetData>
    <row r="1" spans="1:28" x14ac:dyDescent="0.25">
      <c r="A1" s="2" t="s">
        <v>0</v>
      </c>
      <c r="B1" s="2" t="s">
        <v>59</v>
      </c>
      <c r="C1" s="2" t="s">
        <v>60</v>
      </c>
      <c r="D1" s="2" t="s">
        <v>62</v>
      </c>
      <c r="E1" s="2" t="s">
        <v>61</v>
      </c>
      <c r="F1" s="2" t="s">
        <v>63</v>
      </c>
      <c r="G1" s="2" t="s">
        <v>64</v>
      </c>
      <c r="H1" s="2" t="s">
        <v>65</v>
      </c>
      <c r="J1">
        <v>428</v>
      </c>
      <c r="N1">
        <v>1378</v>
      </c>
      <c r="O1">
        <v>10000</v>
      </c>
      <c r="P1">
        <v>1339</v>
      </c>
      <c r="R1" s="3" t="s">
        <v>57</v>
      </c>
      <c r="S1">
        <v>428</v>
      </c>
      <c r="U1" t="s">
        <v>74</v>
      </c>
    </row>
    <row r="2" spans="1:28" x14ac:dyDescent="0.25">
      <c r="A2" s="1" t="s">
        <v>1</v>
      </c>
      <c r="B2" s="1" t="str">
        <f>IF(COUNTIF($J$3:$J$12,A2)&gt;0,"Yes","No")</f>
        <v>No</v>
      </c>
      <c r="J2" s="2" t="s">
        <v>59</v>
      </c>
      <c r="K2" s="2" t="s">
        <v>60</v>
      </c>
      <c r="L2" s="2" t="s">
        <v>62</v>
      </c>
      <c r="M2" s="2" t="s">
        <v>61</v>
      </c>
      <c r="N2" s="2" t="s">
        <v>63</v>
      </c>
      <c r="O2" s="2" t="s">
        <v>64</v>
      </c>
      <c r="P2" s="2" t="s">
        <v>65</v>
      </c>
      <c r="R2" t="s">
        <v>56</v>
      </c>
      <c r="S2">
        <v>1229</v>
      </c>
      <c r="U2" t="s">
        <v>75</v>
      </c>
      <c r="V2" t="s">
        <v>76</v>
      </c>
      <c r="W2" t="s">
        <v>77</v>
      </c>
      <c r="X2" t="s">
        <v>58</v>
      </c>
      <c r="Y2" t="s">
        <v>78</v>
      </c>
      <c r="Z2" t="s">
        <v>79</v>
      </c>
      <c r="AA2" t="s">
        <v>80</v>
      </c>
      <c r="AB2" t="s">
        <v>81</v>
      </c>
    </row>
    <row r="3" spans="1:28" x14ac:dyDescent="0.25">
      <c r="A3" s="1" t="s">
        <v>2</v>
      </c>
      <c r="J3" t="s">
        <v>6</v>
      </c>
      <c r="M3" t="s">
        <v>30</v>
      </c>
      <c r="N3" t="s">
        <v>6</v>
      </c>
      <c r="O3" t="s">
        <v>6</v>
      </c>
      <c r="P3" t="s">
        <v>6</v>
      </c>
    </row>
    <row r="4" spans="1:28" x14ac:dyDescent="0.25">
      <c r="A4" s="1" t="s">
        <v>3</v>
      </c>
      <c r="J4" t="s">
        <v>24</v>
      </c>
      <c r="M4" t="s">
        <v>9</v>
      </c>
      <c r="N4" t="s">
        <v>24</v>
      </c>
      <c r="O4" t="s">
        <v>24</v>
      </c>
      <c r="P4" t="s">
        <v>24</v>
      </c>
    </row>
    <row r="5" spans="1:28" x14ac:dyDescent="0.25">
      <c r="A5" s="1" t="s">
        <v>4</v>
      </c>
      <c r="J5" t="s">
        <v>10</v>
      </c>
      <c r="M5" t="s">
        <v>8</v>
      </c>
      <c r="N5" t="s">
        <v>10</v>
      </c>
      <c r="O5" t="s">
        <v>10</v>
      </c>
      <c r="P5" t="s">
        <v>10</v>
      </c>
      <c r="U5" s="4" t="s">
        <v>41</v>
      </c>
      <c r="V5" s="4" t="s">
        <v>82</v>
      </c>
      <c r="W5" s="4" t="s">
        <v>84</v>
      </c>
      <c r="X5" s="4" t="s">
        <v>62</v>
      </c>
      <c r="Y5" s="4">
        <v>180</v>
      </c>
      <c r="Z5" s="4">
        <v>2250</v>
      </c>
      <c r="AA5" s="4">
        <v>582.49999999999989</v>
      </c>
      <c r="AB5" s="4">
        <v>0</v>
      </c>
    </row>
    <row r="6" spans="1:28" x14ac:dyDescent="0.25">
      <c r="A6" s="1" t="s">
        <v>5</v>
      </c>
      <c r="J6" t="s">
        <v>25</v>
      </c>
      <c r="M6" t="s">
        <v>14</v>
      </c>
      <c r="N6" t="s">
        <v>25</v>
      </c>
      <c r="O6" t="s">
        <v>25</v>
      </c>
      <c r="P6" t="s">
        <v>25</v>
      </c>
      <c r="U6" s="4" t="s">
        <v>35</v>
      </c>
      <c r="V6" s="4" t="s">
        <v>82</v>
      </c>
      <c r="W6" s="4" t="s">
        <v>85</v>
      </c>
      <c r="X6" s="4" t="s">
        <v>59</v>
      </c>
      <c r="Y6" s="4">
        <v>157.5</v>
      </c>
      <c r="Z6" s="4">
        <v>157.5</v>
      </c>
      <c r="AA6" s="4">
        <v>52</v>
      </c>
      <c r="AB6" s="4">
        <v>2016</v>
      </c>
    </row>
    <row r="7" spans="1:28" x14ac:dyDescent="0.25">
      <c r="A7" s="1" t="s">
        <v>6</v>
      </c>
      <c r="J7" t="s">
        <v>3</v>
      </c>
      <c r="M7" t="s">
        <v>13</v>
      </c>
      <c r="N7" t="s">
        <v>3</v>
      </c>
      <c r="O7" t="s">
        <v>3</v>
      </c>
      <c r="P7" t="s">
        <v>3</v>
      </c>
      <c r="U7" t="s">
        <v>51</v>
      </c>
      <c r="V7" t="s">
        <v>82</v>
      </c>
      <c r="W7" t="s">
        <v>85</v>
      </c>
      <c r="X7" t="s">
        <v>86</v>
      </c>
      <c r="Y7">
        <v>337.5</v>
      </c>
      <c r="Z7">
        <v>2407.5</v>
      </c>
      <c r="AA7">
        <v>634.49999999999989</v>
      </c>
      <c r="AB7">
        <v>2016</v>
      </c>
    </row>
    <row r="8" spans="1:28" x14ac:dyDescent="0.25">
      <c r="A8" s="1" t="s">
        <v>7</v>
      </c>
      <c r="J8" t="s">
        <v>71</v>
      </c>
      <c r="M8" t="s">
        <v>18</v>
      </c>
      <c r="N8" t="s">
        <v>71</v>
      </c>
      <c r="O8" t="s">
        <v>71</v>
      </c>
      <c r="P8" t="s">
        <v>71</v>
      </c>
      <c r="U8" s="4" t="s">
        <v>87</v>
      </c>
      <c r="V8" s="4" t="s">
        <v>83</v>
      </c>
      <c r="W8" s="4" t="s">
        <v>88</v>
      </c>
      <c r="X8" s="4" t="s">
        <v>62</v>
      </c>
      <c r="Y8" s="4">
        <v>0</v>
      </c>
      <c r="Z8" s="4">
        <v>0</v>
      </c>
      <c r="AA8" s="4">
        <v>0</v>
      </c>
      <c r="AB8" s="4">
        <v>0</v>
      </c>
    </row>
    <row r="9" spans="1:28" x14ac:dyDescent="0.25">
      <c r="A9" s="1" t="s">
        <v>8</v>
      </c>
      <c r="J9" t="s">
        <v>52</v>
      </c>
      <c r="M9" t="s">
        <v>38</v>
      </c>
      <c r="N9" t="s">
        <v>52</v>
      </c>
      <c r="O9" t="s">
        <v>52</v>
      </c>
      <c r="P9" t="s">
        <v>52</v>
      </c>
      <c r="U9" s="4" t="s">
        <v>36</v>
      </c>
      <c r="V9" s="4" t="s">
        <v>83</v>
      </c>
      <c r="W9" s="4" t="s">
        <v>89</v>
      </c>
      <c r="X9" s="4" t="s">
        <v>59</v>
      </c>
      <c r="Y9" s="4">
        <v>1464</v>
      </c>
      <c r="Z9" s="4">
        <v>1464</v>
      </c>
      <c r="AA9" s="4">
        <v>96</v>
      </c>
      <c r="AB9" s="4">
        <v>0</v>
      </c>
    </row>
    <row r="10" spans="1:28" x14ac:dyDescent="0.25">
      <c r="A10" s="1" t="s">
        <v>9</v>
      </c>
      <c r="J10" t="s">
        <v>4</v>
      </c>
      <c r="M10" t="s">
        <v>66</v>
      </c>
      <c r="N10" t="s">
        <v>4</v>
      </c>
      <c r="O10" t="s">
        <v>4</v>
      </c>
      <c r="P10" t="s">
        <v>4</v>
      </c>
      <c r="U10" t="s">
        <v>90</v>
      </c>
      <c r="V10" t="s">
        <v>83</v>
      </c>
      <c r="W10" t="s">
        <v>89</v>
      </c>
      <c r="X10" t="s">
        <v>86</v>
      </c>
      <c r="Y10">
        <v>1464</v>
      </c>
      <c r="Z10">
        <v>1464</v>
      </c>
      <c r="AA10">
        <v>96</v>
      </c>
      <c r="AB10">
        <v>0</v>
      </c>
    </row>
    <row r="11" spans="1:28" x14ac:dyDescent="0.25">
      <c r="A11" s="1" t="s">
        <v>10</v>
      </c>
      <c r="J11" t="s">
        <v>72</v>
      </c>
      <c r="M11" t="s">
        <v>67</v>
      </c>
      <c r="N11" t="s">
        <v>72</v>
      </c>
      <c r="O11" t="s">
        <v>72</v>
      </c>
      <c r="P11" t="s">
        <v>72</v>
      </c>
      <c r="U11" s="5" t="s">
        <v>26</v>
      </c>
      <c r="V11" s="5" t="s">
        <v>82</v>
      </c>
      <c r="W11" s="5" t="s">
        <v>91</v>
      </c>
      <c r="X11" s="5" t="s">
        <v>60</v>
      </c>
      <c r="Y11" s="5">
        <v>21</v>
      </c>
      <c r="Z11" s="5">
        <v>21</v>
      </c>
      <c r="AA11" s="5">
        <v>0</v>
      </c>
      <c r="AB11" s="5">
        <v>0</v>
      </c>
    </row>
    <row r="12" spans="1:28" x14ac:dyDescent="0.25">
      <c r="A12" s="1" t="s">
        <v>11</v>
      </c>
      <c r="J12" t="s">
        <v>73</v>
      </c>
      <c r="M12" t="s">
        <v>68</v>
      </c>
      <c r="N12" t="s">
        <v>73</v>
      </c>
      <c r="O12" t="s">
        <v>73</v>
      </c>
      <c r="P12" t="s">
        <v>73</v>
      </c>
      <c r="U12" s="5" t="s">
        <v>39</v>
      </c>
      <c r="V12" s="5" t="s">
        <v>82</v>
      </c>
      <c r="W12" s="5" t="s">
        <v>92</v>
      </c>
      <c r="X12" s="5" t="s">
        <v>62</v>
      </c>
      <c r="Y12" s="5">
        <v>14655</v>
      </c>
      <c r="Z12" s="5">
        <v>14730</v>
      </c>
      <c r="AA12" s="5">
        <v>1752.5</v>
      </c>
      <c r="AB12" s="5">
        <v>0</v>
      </c>
    </row>
    <row r="13" spans="1:28" x14ac:dyDescent="0.25">
      <c r="A13" s="1" t="s">
        <v>12</v>
      </c>
      <c r="M13" t="s">
        <v>23</v>
      </c>
      <c r="U13" s="5" t="s">
        <v>34</v>
      </c>
      <c r="V13" s="5" t="s">
        <v>82</v>
      </c>
      <c r="W13" s="5" t="s">
        <v>93</v>
      </c>
      <c r="X13" s="5" t="s">
        <v>59</v>
      </c>
      <c r="Y13" s="5">
        <v>144</v>
      </c>
      <c r="Z13" s="5">
        <v>144</v>
      </c>
      <c r="AA13" s="5">
        <v>60</v>
      </c>
      <c r="AB13" s="5">
        <v>0</v>
      </c>
    </row>
    <row r="14" spans="1:28" x14ac:dyDescent="0.25">
      <c r="A14" s="1" t="s">
        <v>13</v>
      </c>
      <c r="M14" t="s">
        <v>29</v>
      </c>
      <c r="U14" s="5" t="s">
        <v>94</v>
      </c>
      <c r="V14" s="5" t="s">
        <v>83</v>
      </c>
      <c r="W14" s="5" t="s">
        <v>95</v>
      </c>
      <c r="X14" s="5" t="s">
        <v>60</v>
      </c>
      <c r="Y14" s="5">
        <v>0.5</v>
      </c>
      <c r="Z14" s="5">
        <v>0.5</v>
      </c>
      <c r="AA14" s="5">
        <v>0</v>
      </c>
      <c r="AB14" s="5">
        <v>0</v>
      </c>
    </row>
    <row r="15" spans="1:28" x14ac:dyDescent="0.25">
      <c r="A15" s="1" t="s">
        <v>14</v>
      </c>
      <c r="M15" t="s">
        <v>69</v>
      </c>
      <c r="U15" s="5" t="s">
        <v>40</v>
      </c>
      <c r="V15" s="5" t="s">
        <v>83</v>
      </c>
      <c r="W15" s="5" t="s">
        <v>96</v>
      </c>
      <c r="X15" s="5" t="s">
        <v>62</v>
      </c>
      <c r="Y15" s="5">
        <v>14340</v>
      </c>
      <c r="Z15" s="5">
        <v>16230</v>
      </c>
      <c r="AA15" s="5">
        <v>3142.5000000000005</v>
      </c>
      <c r="AB15" s="5">
        <v>0</v>
      </c>
    </row>
    <row r="16" spans="1:28" x14ac:dyDescent="0.25">
      <c r="A16" s="1" t="s">
        <v>15</v>
      </c>
      <c r="M16" t="s">
        <v>7</v>
      </c>
      <c r="U16" s="5" t="s">
        <v>33</v>
      </c>
      <c r="V16" s="5" t="s">
        <v>83</v>
      </c>
      <c r="W16" s="5" t="s">
        <v>97</v>
      </c>
      <c r="X16" s="5" t="s">
        <v>59</v>
      </c>
      <c r="Y16" s="5">
        <v>120</v>
      </c>
      <c r="Z16" s="5">
        <v>168</v>
      </c>
      <c r="AA16" s="5">
        <v>8</v>
      </c>
      <c r="AB16" s="5">
        <v>0</v>
      </c>
    </row>
    <row r="17" spans="1:28" x14ac:dyDescent="0.25">
      <c r="A17" s="1" t="s">
        <v>16</v>
      </c>
      <c r="M17" t="s">
        <v>12</v>
      </c>
      <c r="U17" s="4" t="s">
        <v>27</v>
      </c>
      <c r="V17" s="4" t="s">
        <v>82</v>
      </c>
      <c r="W17" s="4" t="s">
        <v>98</v>
      </c>
      <c r="X17" s="4" t="s">
        <v>60</v>
      </c>
      <c r="Y17" s="4">
        <v>130</v>
      </c>
      <c r="Z17" s="4">
        <v>130</v>
      </c>
      <c r="AA17" s="4">
        <v>0</v>
      </c>
      <c r="AB17" s="4">
        <v>0</v>
      </c>
    </row>
    <row r="18" spans="1:28" x14ac:dyDescent="0.25">
      <c r="A18" s="1" t="s">
        <v>17</v>
      </c>
      <c r="M18" t="s">
        <v>70</v>
      </c>
      <c r="U18" s="4" t="s">
        <v>42</v>
      </c>
      <c r="V18" s="4" t="s">
        <v>82</v>
      </c>
      <c r="W18" s="4" t="s">
        <v>99</v>
      </c>
      <c r="X18" s="4" t="s">
        <v>62</v>
      </c>
      <c r="Y18" s="4">
        <v>4980</v>
      </c>
      <c r="Z18" s="4">
        <v>4980</v>
      </c>
      <c r="AA18" s="4">
        <v>1660</v>
      </c>
      <c r="AB18" s="4">
        <v>0</v>
      </c>
    </row>
    <row r="19" spans="1:28" x14ac:dyDescent="0.25">
      <c r="A19" s="1" t="s">
        <v>18</v>
      </c>
      <c r="M19" t="s">
        <v>16</v>
      </c>
      <c r="U19" s="4" t="s">
        <v>37</v>
      </c>
      <c r="V19" s="4" t="s">
        <v>82</v>
      </c>
      <c r="W19" s="4" t="s">
        <v>100</v>
      </c>
      <c r="X19" s="4" t="s">
        <v>59</v>
      </c>
      <c r="Y19" s="4">
        <v>600</v>
      </c>
      <c r="Z19" s="4">
        <v>2952</v>
      </c>
      <c r="AA19" s="4">
        <v>240</v>
      </c>
      <c r="AB19" s="4">
        <v>0</v>
      </c>
    </row>
    <row r="20" spans="1:28" x14ac:dyDescent="0.25">
      <c r="A20" s="1" t="s">
        <v>19</v>
      </c>
      <c r="M20" t="s">
        <v>15</v>
      </c>
      <c r="U20" t="s">
        <v>101</v>
      </c>
      <c r="V20" t="s">
        <v>82</v>
      </c>
      <c r="W20" t="s">
        <v>102</v>
      </c>
      <c r="X20" t="s">
        <v>86</v>
      </c>
      <c r="Y20">
        <v>5710</v>
      </c>
      <c r="Z20">
        <v>8062</v>
      </c>
      <c r="AA20">
        <v>1900</v>
      </c>
      <c r="AB20">
        <v>0</v>
      </c>
    </row>
    <row r="21" spans="1:28" x14ac:dyDescent="0.25">
      <c r="A21" s="1" t="s">
        <v>20</v>
      </c>
      <c r="M21" t="s">
        <v>20</v>
      </c>
      <c r="U21" s="4" t="s">
        <v>28</v>
      </c>
      <c r="V21" s="4" t="s">
        <v>83</v>
      </c>
      <c r="W21" s="4" t="s">
        <v>103</v>
      </c>
      <c r="X21" s="4" t="s">
        <v>60</v>
      </c>
      <c r="Y21" s="4">
        <v>0</v>
      </c>
      <c r="Z21" s="4">
        <v>0</v>
      </c>
      <c r="AA21" s="4">
        <v>0</v>
      </c>
      <c r="AB21" s="4">
        <v>2000</v>
      </c>
    </row>
    <row r="22" spans="1:28" x14ac:dyDescent="0.25">
      <c r="A22" s="1" t="s">
        <v>21</v>
      </c>
      <c r="M22" t="s">
        <v>19</v>
      </c>
      <c r="U22" s="4" t="s">
        <v>104</v>
      </c>
      <c r="V22" s="4" t="s">
        <v>83</v>
      </c>
      <c r="W22" s="4" t="s">
        <v>105</v>
      </c>
      <c r="X22" s="4" t="s">
        <v>62</v>
      </c>
      <c r="Y22" s="4">
        <v>0</v>
      </c>
      <c r="Z22" s="4">
        <v>0</v>
      </c>
      <c r="AA22" s="4">
        <v>0</v>
      </c>
      <c r="AB22" s="4">
        <v>0</v>
      </c>
    </row>
    <row r="23" spans="1:28" x14ac:dyDescent="0.25">
      <c r="A23" s="1" t="s">
        <v>22</v>
      </c>
      <c r="M23" t="s">
        <v>22</v>
      </c>
      <c r="U23" s="4" t="s">
        <v>32</v>
      </c>
      <c r="V23" s="4" t="s">
        <v>83</v>
      </c>
      <c r="W23" s="4" t="s">
        <v>106</v>
      </c>
      <c r="X23" s="4" t="s">
        <v>59</v>
      </c>
      <c r="Y23" s="4">
        <v>2904</v>
      </c>
      <c r="Z23" s="4">
        <v>2952</v>
      </c>
      <c r="AA23" s="4">
        <v>128</v>
      </c>
      <c r="AB23" s="4">
        <v>0</v>
      </c>
    </row>
    <row r="24" spans="1:28" x14ac:dyDescent="0.25">
      <c r="A24" s="1" t="s">
        <v>23</v>
      </c>
      <c r="M24" t="s">
        <v>21</v>
      </c>
      <c r="U24" t="s">
        <v>107</v>
      </c>
      <c r="V24" t="s">
        <v>83</v>
      </c>
      <c r="W24" t="s">
        <v>108</v>
      </c>
      <c r="X24" t="s">
        <v>86</v>
      </c>
      <c r="Y24">
        <v>2904</v>
      </c>
      <c r="Z24">
        <v>2952</v>
      </c>
      <c r="AA24">
        <v>128</v>
      </c>
      <c r="AB24">
        <v>2000</v>
      </c>
    </row>
    <row r="25" spans="1:28" x14ac:dyDescent="0.25">
      <c r="A25" s="1" t="s">
        <v>24</v>
      </c>
      <c r="U25" s="5" t="s">
        <v>11</v>
      </c>
      <c r="V25" s="5" t="s">
        <v>109</v>
      </c>
      <c r="W25" s="5" t="s">
        <v>110</v>
      </c>
      <c r="X25" s="5" t="s">
        <v>59</v>
      </c>
      <c r="Y25" s="5">
        <v>8.06</v>
      </c>
      <c r="Z25" s="5">
        <v>275.48</v>
      </c>
      <c r="AA25" s="5">
        <v>1087.6666666666667</v>
      </c>
      <c r="AB25" s="5">
        <v>4187</v>
      </c>
    </row>
    <row r="26" spans="1:28" x14ac:dyDescent="0.25">
      <c r="A26" s="1" t="s">
        <v>25</v>
      </c>
      <c r="U26" s="5" t="s">
        <v>111</v>
      </c>
      <c r="V26" s="5" t="s">
        <v>82</v>
      </c>
      <c r="W26" s="5" t="s">
        <v>112</v>
      </c>
      <c r="X26" s="5" t="s">
        <v>59</v>
      </c>
      <c r="Y26" s="5">
        <v>989.55</v>
      </c>
      <c r="Z26" s="5">
        <v>1016.24</v>
      </c>
      <c r="AA26" s="5">
        <v>188.83333333333334</v>
      </c>
      <c r="AB26" s="5">
        <v>0</v>
      </c>
    </row>
    <row r="27" spans="1:28" x14ac:dyDescent="0.25">
      <c r="A27" s="1" t="s">
        <v>26</v>
      </c>
      <c r="U27" s="5" t="s">
        <v>113</v>
      </c>
      <c r="V27" s="5" t="s">
        <v>83</v>
      </c>
      <c r="W27" s="5" t="s">
        <v>114</v>
      </c>
      <c r="X27" s="5"/>
      <c r="Y27" s="5">
        <v>0.31</v>
      </c>
      <c r="Z27" s="5">
        <v>0.31</v>
      </c>
      <c r="AA27" s="5">
        <v>0</v>
      </c>
      <c r="AB27" s="5">
        <v>0</v>
      </c>
    </row>
    <row r="28" spans="1:28" x14ac:dyDescent="0.25">
      <c r="A28" s="1" t="s">
        <v>27</v>
      </c>
      <c r="U28" s="5" t="s">
        <v>115</v>
      </c>
      <c r="V28" s="5" t="s">
        <v>82</v>
      </c>
      <c r="W28" s="5" t="s">
        <v>116</v>
      </c>
      <c r="X28" s="5" t="s">
        <v>59</v>
      </c>
      <c r="Y28" s="5">
        <v>1968</v>
      </c>
      <c r="Z28" s="5">
        <v>2136</v>
      </c>
      <c r="AA28" s="5">
        <v>27.999999999999996</v>
      </c>
      <c r="AB28" s="5">
        <v>0</v>
      </c>
    </row>
    <row r="29" spans="1:28" x14ac:dyDescent="0.25">
      <c r="A29" s="1" t="s">
        <v>28</v>
      </c>
      <c r="U29" s="5" t="s">
        <v>117</v>
      </c>
      <c r="V29" s="5" t="s">
        <v>83</v>
      </c>
      <c r="W29" s="5" t="s">
        <v>118</v>
      </c>
      <c r="X29" s="5" t="s">
        <v>59</v>
      </c>
      <c r="Y29" s="5">
        <v>432</v>
      </c>
      <c r="Z29" s="5">
        <v>480</v>
      </c>
      <c r="AA29" s="5">
        <v>267.99999999999994</v>
      </c>
      <c r="AB29" s="5">
        <v>0</v>
      </c>
    </row>
    <row r="30" spans="1:28" x14ac:dyDescent="0.25">
      <c r="A30" s="1" t="s">
        <v>29</v>
      </c>
    </row>
    <row r="31" spans="1:28" x14ac:dyDescent="0.25">
      <c r="A31" s="1" t="s">
        <v>30</v>
      </c>
    </row>
    <row r="32" spans="1:28" x14ac:dyDescent="0.25">
      <c r="A32" s="1" t="s">
        <v>31</v>
      </c>
    </row>
    <row r="33" spans="1:2" x14ac:dyDescent="0.25">
      <c r="A33" s="1" t="s">
        <v>32</v>
      </c>
    </row>
    <row r="34" spans="1:2" x14ac:dyDescent="0.25">
      <c r="A34" s="1" t="s">
        <v>33</v>
      </c>
    </row>
    <row r="35" spans="1:2" x14ac:dyDescent="0.25">
      <c r="A35" s="1" t="s">
        <v>34</v>
      </c>
    </row>
    <row r="36" spans="1:2" x14ac:dyDescent="0.25">
      <c r="A36" s="1" t="s">
        <v>35</v>
      </c>
    </row>
    <row r="37" spans="1:2" x14ac:dyDescent="0.25">
      <c r="A37" s="1" t="s">
        <v>36</v>
      </c>
    </row>
    <row r="38" spans="1:2" x14ac:dyDescent="0.25">
      <c r="A38" s="1" t="s">
        <v>37</v>
      </c>
    </row>
    <row r="39" spans="1:2" x14ac:dyDescent="0.25">
      <c r="A39" s="1" t="s">
        <v>38</v>
      </c>
    </row>
    <row r="40" spans="1:2" x14ac:dyDescent="0.25">
      <c r="A40" s="1" t="s">
        <v>39</v>
      </c>
    </row>
    <row r="41" spans="1:2" x14ac:dyDescent="0.25">
      <c r="A41" s="1" t="s">
        <v>40</v>
      </c>
    </row>
    <row r="42" spans="1:2" x14ac:dyDescent="0.25">
      <c r="A42" s="1" t="s">
        <v>41</v>
      </c>
    </row>
    <row r="43" spans="1:2" x14ac:dyDescent="0.25">
      <c r="A43" s="1" t="s">
        <v>42</v>
      </c>
    </row>
    <row r="44" spans="1:2" x14ac:dyDescent="0.25">
      <c r="A44" s="1" t="s">
        <v>43</v>
      </c>
    </row>
    <row r="45" spans="1:2" x14ac:dyDescent="0.25">
      <c r="A45" s="1" t="s">
        <v>44</v>
      </c>
    </row>
    <row r="46" spans="1:2" x14ac:dyDescent="0.25">
      <c r="A46" s="1" t="s">
        <v>45</v>
      </c>
    </row>
    <row r="47" spans="1:2" x14ac:dyDescent="0.25">
      <c r="A47" s="1" t="s">
        <v>46</v>
      </c>
      <c r="B47" s="1" t="s">
        <v>57</v>
      </c>
    </row>
    <row r="48" spans="1:2" x14ac:dyDescent="0.25">
      <c r="A48" s="1" t="s">
        <v>47</v>
      </c>
    </row>
    <row r="49" spans="1:2" x14ac:dyDescent="0.25">
      <c r="A49" s="1" t="s">
        <v>48</v>
      </c>
    </row>
    <row r="50" spans="1:2" x14ac:dyDescent="0.25">
      <c r="A50" s="1" t="s">
        <v>49</v>
      </c>
    </row>
    <row r="51" spans="1:2" x14ac:dyDescent="0.25">
      <c r="A51" s="1" t="s">
        <v>50</v>
      </c>
    </row>
    <row r="52" spans="1:2" x14ac:dyDescent="0.25">
      <c r="A52" s="1" t="s">
        <v>51</v>
      </c>
      <c r="B52" s="1" t="s">
        <v>56</v>
      </c>
    </row>
    <row r="53" spans="1:2" x14ac:dyDescent="0.25">
      <c r="A53" s="1" t="s">
        <v>52</v>
      </c>
      <c r="B53" s="1" t="s">
        <v>56</v>
      </c>
    </row>
    <row r="54" spans="1:2" x14ac:dyDescent="0.25">
      <c r="A54" s="1" t="s">
        <v>53</v>
      </c>
      <c r="B54" s="1" t="s">
        <v>57</v>
      </c>
    </row>
    <row r="55" spans="1:2" x14ac:dyDescent="0.25">
      <c r="A55" s="1" t="s">
        <v>54</v>
      </c>
    </row>
    <row r="56" spans="1:2" x14ac:dyDescent="0.25">
      <c r="A56" s="1" t="s">
        <v>55</v>
      </c>
    </row>
  </sheetData>
  <autoFilter ref="A1:H413" xr:uid="{5C795531-BEF2-4A42-879E-1E7290B432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2026-01-19T23:25:07Z</dcterms:created>
  <dcterms:modified xsi:type="dcterms:W3CDTF">2026-01-19T23:57:38Z</dcterms:modified>
</cp:coreProperties>
</file>